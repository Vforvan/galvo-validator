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31498ad6d34f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置查询" sheetId="1" r:id="Rde4e72adb1df4d3c"/>
    <x:sheet xmlns:r="http://schemas.openxmlformats.org/officeDocument/2006/relationships" name="全部配置" sheetId="2" r:id="R288bf13763724c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7">
    <x:font>
      <x:sz val="11"/>
      <x:name val="Carlito"/>
    </x:font>
    <x:font>
      <x:sz val="11"/>
      <x:color rgb="FF20364B"/>
      <x:name val="Arial"/>
    </x:font>
    <x:font>
      <x:b/>
      <x:sz val="16"/>
      <x:color rgb="FF20364B"/>
      <x:name val="Arial"/>
    </x:font>
    <x:font>
      <x:b/>
      <x:sz val="13"/>
      <x:color rgb="FF2459A6"/>
      <x:name val="Arial"/>
    </x:font>
    <x:font>
      <x:sz val="10"/>
      <x:color rgb="FF617587"/>
      <x:name val="Arial"/>
    </x:font>
    <x:font>
      <x:b/>
      <x:sz val="11"/>
      <x:color rgb="FFFFFFFF"/>
      <x:name val="Arial"/>
    </x:font>
    <x:font>
      <x:b/>
      <x:sz val="11"/>
      <x:color rgb="FF20364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1CC"/>
      </x:patternFill>
    </x:fill>
    <x:fill>
      <x:patternFill patternType="solid">
        <x:fgColor rgb="FF20364B"/>
      </x:patternFill>
    </x:fill>
    <x:fill>
      <x:patternFill patternType="solid">
        <x:fgColor rgb="FFF3F6F9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FD8E2"/>
      </x:bottom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6" fillId="0" borderId="0" xfId="0" applyNumberFormat="1" applyFont="1" applyFill="1" applyBorder="1" applyAlignment="1">
      <x:alignment horizontal="right" vertical="center"/>
    </x:xf>
    <x:xf numFmtId="201" fontId="6" fillId="4" borderId="0" xfId="0" applyNumberFormat="1" applyFont="1" applyFill="1" applyBorder="1" applyAlignment="1">
      <x:alignment horizontal="right" vertical="center"/>
    </x:xf>
    <x:xf numFmtId="0" fontId="4" fillId="4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1edd50e1cd41df" /><Relationship Type="http://schemas.openxmlformats.org/officeDocument/2006/relationships/theme" Target="/xl/theme/theme1.xml" Id="R941ae59960784723" /><Relationship Type="http://schemas.openxmlformats.org/officeDocument/2006/relationships/sharedStrings" Target="/xl/sharedStrings.xml" Id="Rbc37038d0753479d" /><Relationship Type="http://schemas.openxmlformats.org/officeDocument/2006/relationships/worksheet" Target="/xl/worksheets/sheet1.xml" Id="Rde4e72adb1df4d3c" /><Relationship Type="http://schemas.openxmlformats.org/officeDocument/2006/relationships/worksheet" Target="/xl/worksheets/sheet2.xml" Id="R288bf13763724cf1" /></Relationships>
</file>

<file path=xl/tables/table1.xml><?xml version="1.0" encoding="utf-8"?>
<x:table xmlns:x="http://schemas.openxmlformats.org/spreadsheetml/2006/main" id="1" name="V2Configurations" displayName="V2Configurations" ref="A7:R167" headerRowCount="1" totalsRowCount="0" totalsRowShown="0">
  <x:autoFilter ref="A7:R167"/>
  <x:tableColumns count="18">
    <x:tableColumn id="1" name="配置号"/>
    <x:tableColumn id="2" name="点位编号"/>
    <x:tableColumn id="3" name="配置类型"/>
    <x:tableColumn id="4" name="目标 X / mm"/>
    <x:tableColumn id="5" name="目标 Y / mm"/>
    <x:tableColumn id="6" name="目标 Z / mm"/>
    <x:tableColumn id="7" name="方向 α / °"/>
    <x:tableColumn id="8" name="方向 β / °"/>
    <x:tableColumn id="9" name="G1 / °"/>
    <x:tableColumn id="10" name="G2 / °"/>
    <x:tableColumn id="11" name="G3 / °"/>
    <x:tableColumn id="12" name="G4 / °"/>
    <x:tableColumn id="13" name="音圈 s / mm"/>
    <x:tableColumn id="14" name="像面全局 X / mm"/>
    <x:tableColumn id="15" name="像面全局 Y / mm"/>
    <x:tableColumn id="16" name="像面全局 Z / mm"/>
    <x:tableColumn id="17" name="像面相对中面Z / mm"/>
    <x:tableColumn id="18" name="像面朝向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ae01bf814c4c81" /></Relationships>
</file>

<file path=xl/worksheets/sheet1.xml><?xml version="1.0" encoding="utf-8"?>
<x:worksheet xmlns:x="http://schemas.openxmlformats.org/spreadsheetml/2006/main">
  <x:sheetPr>
    <x:tabColor rgb="FF20364B"/>
  </x:sheetPr>
  <x:sheetViews>
    <x:sheetView showGridLines="0" workbookViewId="0"/>
  </x:sheetViews>
  <x:sheetFormatPr defaultRowHeight="15"/>
  <x:cols>
    <x:col min="1" max="1" width="37" hidden="0" customWidth="1"/>
    <x:col min="2" max="2" width="20" hidden="0" customWidth="1"/>
    <x:col min="3" max="3" width="10" hidden="0" customWidth="1"/>
    <x:col min="4" max="4" width="51" hidden="0" customWidth="1"/>
  </x:cols>
  <x:sheetData>
    <x:row r="1" ht="26" customHeight="1">
      <x:c r="A1" s="2"/>
      <x:c r="B1" s="2"/>
      <x:c r="C1" s="2"/>
      <x:c r="D1" s="2"/>
    </x:row>
    <x:row r="2" ht="26" customHeight="1">
      <x:c r="A2" s="3" t="str">
        <x:v>V2 配置点位与像面查询</x:v>
      </x:c>
      <x:c r="B2" s="2"/>
      <x:c r="C2" s="2"/>
      <x:c r="D2" s="2"/>
    </x:row>
    <x:row r="3" ht="26" customHeight="1">
      <x:c r="A3" s="4"/>
      <x:c r="B3" s="4"/>
      <x:c r="C3" s="4"/>
      <x:c r="D3" s="4"/>
    </x:row>
    <x:row r="4" ht="26" customHeight="1">
      <x:c r="A4" s="2" t="str">
        <x:v>选择配置号</x:v>
      </x:c>
      <x:c r="B4" s="7" t="n">
        <x:v>158</x:v>
      </x:c>
      <x:c r="C4" s="8" t="str">
        <x:v>表内行号</x:v>
      </x:c>
      <x:c r="D4" s="8" t="n">
        <x:f>MATCH(B4,'全部配置'!$A$8:$A$167,0)</x:f>
        <x:v>158</x:v>
      </x:c>
    </x:row>
    <x:row r="5" ht="26" customHeight="1">
      <x:c r="A5" s="2"/>
      <x:c r="B5" s="2"/>
      <x:c r="C5" s="2"/>
      <x:c r="D5" s="2"/>
    </x:row>
    <x:row r="6" ht="28" customHeight="1">
      <x:c r="A6" s="10" t="str">
        <x:v>参数</x:v>
      </x:c>
      <x:c r="B6" s="10" t="str">
        <x:v>当前值</x:v>
      </x:c>
      <x:c r="C6" s="10" t="str">
        <x:v>单位</x:v>
      </x:c>
      <x:c r="D6" s="10" t="str">
        <x:v>说明</x:v>
      </x:c>
    </x:row>
    <x:row r="7" ht="26" customHeight="1">
      <x:c r="A7" s="11" t="str">
        <x:v>点位编号</x:v>
      </x:c>
      <x:c r="B7" s="14" t="str">
        <x:f>INDEX('全部配置'!$B$8:$B$167,$D$4)</x:f>
        <x:v>T10</x:v>
      </x:c>
      <x:c r="C7" s="11" t="str"/>
      <x:c r="D7" s="20" t="str">
        <x:v>对应工程配置表中的编号</x:v>
      </x:c>
    </x:row>
    <x:row r="8" ht="26" customHeight="1">
      <x:c r="A8" s="2" t="str">
        <x:v>配置类型</x:v>
      </x:c>
      <x:c r="B8" s="15" t="str">
        <x:f>INDEX('全部配置'!$C$8:$C$167,$D$4)</x:f>
        <x:v>像面对照</x:v>
      </x:c>
      <x:c r="C8" s="2" t="str"/>
      <x:c r="D8" s="8" t="str">
        <x:v>参考、旋入轨迹、加严工况或像面对照</x:v>
      </x:c>
    </x:row>
    <x:row r="9" ht="26" customHeight="1">
      <x:c r="A9" s="11" t="str">
        <x:v>目标 X</x:v>
      </x:c>
      <x:c r="B9" s="16" t="n">
        <x:f>ROUND(INDEX('全部配置'!$D$8:$D$167,$D$4),9)</x:f>
        <x:v>0</x:v>
      </x:c>
      <x:c r="C9" s="11" t="str">
        <x:v>mm</x:v>
      </x:c>
      <x:c r="D9" s="20" t="str">
        <x:v>相对孔中心</x:v>
      </x:c>
    </x:row>
    <x:row r="10" ht="26" customHeight="1">
      <x:c r="A10" s="2" t="str">
        <x:v>目标 Y</x:v>
      </x:c>
      <x:c r="B10" s="17" t="n">
        <x:f>ROUND(INDEX('全部配置'!$E$8:$E$167,$D$4),9)</x:f>
        <x:v>-0.05</x:v>
      </x:c>
      <x:c r="C10" s="2" t="str">
        <x:v>mm</x:v>
      </x:c>
      <x:c r="D10" s="8" t="str">
        <x:v>相对孔中心</x:v>
      </x:c>
    </x:row>
    <x:row r="11" ht="26" customHeight="1">
      <x:c r="A11" s="11" t="str">
        <x:v>目标 Z</x:v>
      </x:c>
      <x:c r="B11" s="16" t="n">
        <x:f>ROUND(INDEX('全部配置'!$F$8:$F$167,$D$4),9)</x:f>
        <x:v>1</x:v>
      </x:c>
      <x:c r="C11" s="11" t="str">
        <x:v>mm</x:v>
      </x:c>
      <x:c r="D11" s="20" t="str">
        <x:v>相对工件中面，向上为正</x:v>
      </x:c>
    </x:row>
    <x:row r="12" ht="26" customHeight="1">
      <x:c r="A12" s="2" t="str">
        <x:v>方向 α</x:v>
      </x:c>
      <x:c r="B12" s="17" t="n">
        <x:f>ROUND(INDEX('全部配置'!$G$8:$G$167,$D$4),9)</x:f>
        <x:v>0</x:v>
      </x:c>
      <x:c r="C12" s="2" t="str">
        <x:v>°</x:v>
      </x:c>
      <x:c r="D12" s="8" t="str">
        <x:v>项目 XZ 投影方向角</x:v>
      </x:c>
    </x:row>
    <x:row r="13" ht="26" customHeight="1">
      <x:c r="A13" s="11" t="str">
        <x:v>方向 β</x:v>
      </x:c>
      <x:c r="B13" s="16" t="n">
        <x:f>ROUND(INDEX('全部配置'!$H$8:$H$167,$D$4),9)</x:f>
        <x:v>-7.5</x:v>
      </x:c>
      <x:c r="C13" s="11" t="str">
        <x:v>°</x:v>
      </x:c>
      <x:c r="D13" s="20" t="str">
        <x:v>项目 YZ 投影方向角</x:v>
      </x:c>
    </x:row>
    <x:row r="14" ht="26" customHeight="1">
      <x:c r="A14" s="2" t="str">
        <x:v>总入射角</x:v>
      </x:c>
      <x:c r="B14" s="17" t="n">
        <x:f>DEGREES(ATAN(SQRT(TAN(RADIANS(B12))^2+TAN(RADIANS(B13))^2)))</x:f>
        <x:v>7.499999999999999</x:v>
      </x:c>
      <x:c r="C14" s="2" t="str">
        <x:v>°</x:v>
      </x:c>
      <x:c r="D14" s="8" t="str">
        <x:v>由 α、β 换算，不直接相加</x:v>
      </x:c>
    </x:row>
    <x:row r="15" ht="26" customHeight="1">
      <x:c r="A15" s="11" t="str">
        <x:v>音圈 s</x:v>
      </x:c>
      <x:c r="B15" s="16" t="n">
        <x:f>ROUND(INDEX('全部配置'!$M$8:$M$167,$D$4),9)</x:f>
        <x:v>-2.489661586</x:v>
      </x:c>
      <x:c r="C15" s="11" t="str">
        <x:v>mm</x:v>
      </x:c>
      <x:c r="D15" s="20" t="str">
        <x:v>切换配置时同步改变</x:v>
      </x:c>
    </x:row>
    <x:row r="16" ht="26" customHeight="1">
      <x:c r="A16" s="2" t="str">
        <x:v>像面中心全局 X</x:v>
      </x:c>
      <x:c r="B16" s="17" t="n">
        <x:f>ROUND(INDEX('全部配置'!$N$8:$N$167,$D$4),9)</x:f>
        <x:v>336.08</x:v>
      </x:c>
      <x:c r="C16" s="2" t="str">
        <x:v>mm</x:v>
      </x:c>
      <x:c r="D16" s="8" t="str">
        <x:v>当前工程配置矩阵导出</x:v>
      </x:c>
    </x:row>
    <x:row r="17" ht="26" customHeight="1">
      <x:c r="A17" s="11" t="str">
        <x:v>像面中心全局 Y</x:v>
      </x:c>
      <x:c r="B17" s="16" t="n">
        <x:f>ROUND(INDEX('全部配置'!$O$8:$O$167,$D$4),9)</x:f>
        <x:v>191.98</x:v>
      </x:c>
      <x:c r="C17" s="11" t="str">
        <x:v>mm</x:v>
      </x:c>
      <x:c r="D17" s="20" t="str">
        <x:v>当前工程配置矩阵导出</x:v>
      </x:c>
    </x:row>
    <x:row r="18" ht="26" customHeight="1">
      <x:c r="A18" s="2" t="str">
        <x:v>像面中心全局 Z</x:v>
      </x:c>
      <x:c r="B18" s="18" t="n">
        <x:f>ROUND(INDEX('全部配置'!$P$8:$P$167,$D$4),9)</x:f>
        <x:v>-79</x:v>
      </x:c>
      <x:c r="C18" s="2" t="str">
        <x:v>mm</x:v>
      </x:c>
      <x:c r="D18" s="8" t="str">
        <x:v>工件中面全局Z基准为 −80 mm</x:v>
      </x:c>
    </x:row>
    <x:row r="19" ht="26" customHeight="1">
      <x:c r="A19" s="11" t="str">
        <x:v>像面相对中面 Z 位移</x:v>
      </x:c>
      <x:c r="B19" s="19" t="n">
        <x:f>ROUND(INDEX('全部配置'!$Q$8:$Q$167,$D$4),9)</x:f>
        <x:v>1</x:v>
      </x:c>
      <x:c r="C19" s="11" t="str">
        <x:v>mm</x:v>
      </x:c>
      <x:c r="D19" s="20" t="str">
        <x:v>正值上移，负值下移</x:v>
      </x:c>
    </x:row>
    <x:row r="20" ht="26" customHeight="1">
      <x:c r="A20" s="2" t="str">
        <x:v>像面朝向</x:v>
      </x:c>
      <x:c r="B20" s="15" t="str">
        <x:f>INDEX('全部配置'!$R$8:$R$167,$D$4)</x:f>
        <x:v>平行工件XY</x:v>
      </x:c>
      <x:c r="C20" s="2" t="str"/>
      <x:c r="D20" s="8" t="str">
        <x:f>IF(B20="垂直末端主光线","经过目标点，垂直末端主光线","经过目标点，平行于工件XY")</x:f>
        <x:v>经过目标点，平行于工件XY</x:v>
      </x:c>
    </x:row>
    <x:row r="21" ht="26" customHeight="1">
      <x:c r="A21" s="11" t="str">
        <x:v>像面移动方向</x:v>
      </x:c>
      <x:c r="B21" s="14" t="str">
        <x:f>IF(ABS(B19)&lt;0.000001,"位于工件中面",IF(B19&gt;0,"向上移","向下移"))</x:f>
        <x:v>向上移</x:v>
      </x:c>
      <x:c r="C21" s="11" t="str"/>
      <x:c r="D21" s="20" t="str">
        <x:v>相对工件中面判断</x:v>
      </x:c>
    </x:row>
    <x:row r="22" ht="26" customHeight="1">
      <x:c r="A22" s="2"/>
      <x:c r="B22" s="2"/>
      <x:c r="C22" s="2"/>
      <x:c r="D22" s="2"/>
    </x:row>
    <x:row r="23" ht="26" customHeight="1">
      <x:c r="A23" s="8" t="str">
        <x:v>项目坐标：XY以孔中心为零；Z=0是工件中面，Z向上为正。</x:v>
      </x:c>
      <x:c r="B23" s="8"/>
      <x:c r="C23" s="8"/>
      <x:c r="D23" s="8"/>
    </x:row>
    <x:row r="24" ht="26" customHeight="1">
      <x:c r="A24" s="8" t="str">
        <x:v>像面坐标：采用项目全局坐标；中面全局Z基准为 −80 mm。</x:v>
      </x:c>
      <x:c r="B24" s="8"/>
      <x:c r="C24" s="8"/>
      <x:c r="D24" s="8"/>
    </x:row>
    <x:row r="25" ht="26" customHeight="1">
      <x:c r="A25" s="8" t="str">
        <x:v>配置149～154为法向面，155～160为水平XY面；146仍为法向特例。</x:v>
      </x:c>
      <x:c r="B25" s="8"/>
      <x:c r="C25" s="8"/>
      <x:c r="D25" s="8"/>
    </x:row>
    <x:row r="26" ht="26" customHeight="1">
      <x:c r="A26" s="8" t="str">
        <x:v>四片物镜参数、全部160配置指令及像面位置已同步；本次未重跑光学测试。</x:v>
      </x:c>
      <x:c r="B26" s="8"/>
      <x:c r="C26" s="8"/>
      <x:c r="D26" s="8"/>
    </x:row>
    <x:row r="27" ht="26" customHeight="1">
      <x:c r="A27" s="2"/>
      <x:c r="B27" s="2"/>
      <x:c r="C27" s="2"/>
      <x:c r="D27" s="2"/>
    </x:row>
  </x:sheetData>
  <x:dataValidations count="1">
    <x:dataValidation type="whole" operator="between" sqref="B4">
      <x:formula1>1</x:formula1>
      <x:formula2>160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1A1AE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4" customHeight="1">
      <x:c r="A2" s="3" t="str">
        <x:v>V2 全部配置对应表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4" customHeight="1">
      <x:c r="A3" s="8" t="str">
        <x:v>配置1参考；2～102旋入；103～148加严；149～160为合并的像面对照。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</x:row>
    <x:row r="4" ht="24" customHeight="1">
      <x:c r="A4" s="8" t="str">
        <x:v>来源：design.json、cases.json、configuration_frames.json。新处方同步，未重跑光学测试。</x:v>
      </x:c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  <x:c r="R4" s="8"/>
    </x:row>
    <x:row r="5" ht="24" customHeight="1">
      <x:c r="A5" s="8" t="str">
        <x:v>149～154法向、155～160水平XY；152与158为同一7.5°工况。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 t="str">
        <x:v>中面全局Z / mm</x:v>
      </x:c>
      <x:c r="O5" s="2"/>
      <x:c r="P5" s="13" t="n">
        <x:v>-80</x:v>
      </x:c>
      <x:c r="Q5" s="2"/>
      <x:c r="R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42" customHeight="1">
      <x:c r="A7" s="22" t="str">
        <x:v>配置号</x:v>
      </x:c>
      <x:c r="B7" s="22" t="str">
        <x:v>点位编号</x:v>
      </x:c>
      <x:c r="C7" s="22" t="str">
        <x:v>配置类型</x:v>
      </x:c>
      <x:c r="D7" s="22" t="str">
        <x:v>目标 X / mm</x:v>
      </x:c>
      <x:c r="E7" s="22" t="str">
        <x:v>目标 Y / mm</x:v>
      </x:c>
      <x:c r="F7" s="22" t="str">
        <x:v>目标 Z / mm</x:v>
      </x:c>
      <x:c r="G7" s="22" t="str">
        <x:v>方向 α / °</x:v>
      </x:c>
      <x:c r="H7" s="22" t="str">
        <x:v>方向 β / °</x:v>
      </x:c>
      <x:c r="I7" s="22" t="str">
        <x:v>G1 / °</x:v>
      </x:c>
      <x:c r="J7" s="22" t="str">
        <x:v>G2 / °</x:v>
      </x:c>
      <x:c r="K7" s="22" t="str">
        <x:v>G3 / °</x:v>
      </x:c>
      <x:c r="L7" s="22" t="str">
        <x:v>G4 / °</x:v>
      </x:c>
      <x:c r="M7" s="22" t="str">
        <x:v>音圈 s / mm</x:v>
      </x:c>
      <x:c r="N7" s="22" t="str">
        <x:v>像面全局 X / mm</x:v>
      </x:c>
      <x:c r="O7" s="22" t="str">
        <x:v>像面全局 Y / mm</x:v>
      </x:c>
      <x:c r="P7" s="22" t="str">
        <x:v>像面全局 Z / mm</x:v>
      </x:c>
      <x:c r="Q7" s="22" t="str">
        <x:v>像面相对中面Z / mm</x:v>
      </x:c>
      <x:c r="R7" s="22" t="str">
        <x:v>像面朝向</x:v>
      </x:c>
    </x:row>
    <x:row r="8" ht="24" customHeight="1">
      <x:c r="A8" s="24" t="n">
        <x:v>1</x:v>
      </x:c>
      <x:c r="B8" s="2" t="str">
        <x:v>REF</x:v>
      </x:c>
      <x:c r="C8" s="2" t="str">
        <x:v>参考</x:v>
      </x:c>
      <x:c r="D8" s="17" t="n">
        <x:v>0</x:v>
      </x:c>
      <x:c r="E8" s="17" t="n">
        <x:v>0</x:v>
      </x:c>
      <x:c r="F8" s="17" t="n">
        <x:v>0</x:v>
      </x:c>
      <x:c r="G8" s="17" t="n">
        <x:v>0</x:v>
      </x:c>
      <x:c r="H8" s="17" t="n">
        <x:v>0</x:v>
      </x:c>
      <x:c r="I8" s="17" t="n">
        <x:v>1.1747737966183503e-14</x:v>
      </x:c>
      <x:c r="J8" s="17" t="n">
        <x:v>2.2872293401758256e-14</x:v>
      </x:c>
      <x:c r="K8" s="17" t="n">
        <x:v>-1.1360066344802974e-14</x:v>
      </x:c>
      <x:c r="L8" s="17" t="n">
        <x:v>-2.8884842282011436e-14</x:v>
      </x:c>
      <x:c r="M8" s="17" t="n">
        <x:v>0.015198086950715613</x:v>
      </x:c>
      <x:c r="N8" s="17" t="n">
        <x:v>336.0800000000004</x:v>
      </x:c>
      <x:c r="O8" s="17" t="n">
        <x:v>192.03000000000006</x:v>
      </x:c>
      <x:c r="P8" s="17" t="n">
        <x:v>-80.00000000000009</x:v>
      </x:c>
      <x:c r="Q8" s="17" t="n">
        <x:f>P8-$P$5</x:f>
        <x:v>-8.526512829121202e-14</x:v>
      </x:c>
      <x:c r="R8" s="2" t="str">
        <x:v>平行工件XY</x:v>
      </x:c>
    </x:row>
    <x:row r="9" ht="24" customHeight="1">
      <x:c r="A9" s="24" t="n">
        <x:v>2</x:v>
      </x:c>
      <x:c r="B9" s="2" t="str">
        <x:v>H001</x:v>
      </x:c>
      <x:c r="C9" s="2" t="str">
        <x:v>旋入轨迹</x:v>
      </x:c>
      <x:c r="D9" s="17" t="n">
        <x:v>0.03</x:v>
      </x:c>
      <x:c r="E9" s="17" t="n">
        <x:v>0</x:v>
      </x:c>
      <x:c r="F9" s="17" t="n">
        <x:v>0.5</x:v>
      </x:c>
      <x:c r="G9" s="17" t="n">
        <x:v>1.5</x:v>
      </x:c>
      <x:c r="H9" s="17" t="n">
        <x:v>0</x:v>
      </x:c>
      <x:c r="I9" s="17" t="n">
        <x:v>-0.011095913328959456</x:v>
      </x:c>
      <x:c r="J9" s="17" t="n">
        <x:v>0.7745180019714677</x:v>
      </x:c>
      <x:c r="K9" s="17" t="n">
        <x:v>0.0006254822125834063</x:v>
      </x:c>
      <x:c r="L9" s="17" t="n">
        <x:v>-0.7981422562119808</x:v>
      </x:c>
      <x:c r="M9" s="17" t="n">
        <x:v>-1.2737725611528323</x:v>
      </x:c>
      <x:c r="N9" s="17" t="n">
        <x:v>336.11000000000035</x:v>
      </x:c>
      <x:c r="O9" s="17" t="n">
        <x:v>192.02999999999997</x:v>
      </x:c>
      <x:c r="P9" s="17" t="n">
        <x:v>-79.50000000000009</x:v>
      </x:c>
      <x:c r="Q9" s="17" t="n">
        <x:f>P9-$P$5</x:f>
        <x:v>0.49999999999991473</x:v>
      </x:c>
      <x:c r="R9" s="2" t="str">
        <x:v>平行工件XY</x:v>
      </x:c>
    </x:row>
    <x:row r="10" ht="24" customHeight="1">
      <x:c r="A10" s="24" t="n">
        <x:v>3</x:v>
      </x:c>
      <x:c r="B10" s="2" t="str">
        <x:v>H002</x:v>
      </x:c>
      <x:c r="C10" s="2" t="str">
        <x:v>旋入轨迹</x:v>
      </x:c>
      <x:c r="D10" s="17" t="n">
        <x:v>0.029885840942752366</x:v>
      </x:c>
      <x:c r="E10" s="17" t="n">
        <x:v>0.0026146722824297447</x:v>
      </x:c>
      <x:c r="F10" s="17" t="n">
        <x:v>0.49</x:v>
      </x:c>
      <x:c r="G10" s="17" t="n">
        <x:v>1.4942946400349715</x:v>
      </x:c>
      <x:c r="H10" s="17" t="n">
        <x:v>0.13076326307996375</x:v>
      </x:c>
      <x:c r="I10" s="17" t="n">
        <x:v>0.037392750408453274</x:v>
      </x:c>
      <x:c r="J10" s="17" t="n">
        <x:v>0.7746682631314589</x:v>
      </x:c>
      <x:c r="K10" s="17" t="n">
        <x:v>-0.04927881375894746</x:v>
      </x:c>
      <x:c r="L10" s="17" t="n">
        <x:v>-0.7967902514533193</x:v>
      </x:c>
      <x:c r="M10" s="17" t="n">
        <x:v>-1.2486715362738507</x:v>
      </x:c>
      <x:c r="N10" s="17" t="n">
        <x:v>336.109885840943</x:v>
      </x:c>
      <x:c r="O10" s="17" t="n">
        <x:v>192.03261467228245</x:v>
      </x:c>
      <x:c r="P10" s="17" t="n">
        <x:v>-79.51000000000008</x:v>
      </x:c>
      <x:c r="Q10" s="17" t="n">
        <x:f>P10-$P$5</x:f>
        <x:v>0.48999999999992383</x:v>
      </x:c>
      <x:c r="R10" s="2" t="str">
        <x:v>平行工件XY</x:v>
      </x:c>
    </x:row>
    <x:row r="11" ht="24" customHeight="1">
      <x:c r="A11" s="24" t="n">
        <x:v>4</x:v>
      </x:c>
      <x:c r="B11" s="2" t="str">
        <x:v>H003</x:v>
      </x:c>
      <x:c r="C11" s="2" t="str">
        <x:v>旋入轨迹</x:v>
      </x:c>
      <x:c r="D11" s="17" t="n">
        <x:v>0.02954423259036624</x:v>
      </x:c>
      <x:c r="E11" s="17" t="n">
        <x:v>0.00520944533000791</x:v>
      </x:c>
      <x:c r="F11" s="17" t="n">
        <x:v>0.48</x:v>
      </x:c>
      <x:c r="G11" s="17" t="n">
        <x:v>1.4772218047669123</x:v>
      </x:c>
      <x:c r="H11" s="17" t="n">
        <x:v>0.260529995508993</x:v>
      </x:c>
      <x:c r="I11" s="17" t="n">
        <x:v>0.08565248689889646</x:v>
      </x:c>
      <x:c r="J11" s="17" t="n">
        <x:v>0.768883166942458</x:v>
      </x:c>
      <x:c r="K11" s="17" t="n">
        <x:v>-0.09876648117798026</x:v>
      </x:c>
      <x:c r="L11" s="17" t="n">
        <x:v>-0.7893490347833009</x:v>
      </x:c>
      <x:c r="M11" s="17" t="n">
        <x:v>-1.223542091524067</x:v>
      </x:c>
      <x:c r="N11" s="17" t="n">
        <x:v>336.10954423259057</x:v>
      </x:c>
      <x:c r="O11" s="17" t="n">
        <x:v>192.03520944533005</x:v>
      </x:c>
      <x:c r="P11" s="17" t="n">
        <x:v>-79.52000000000007</x:v>
      </x:c>
      <x:c r="Q11" s="17" t="n">
        <x:f>P11-$P$5</x:f>
        <x:v>0.4799999999999329</x:v>
      </x:c>
      <x:c r="R11" s="2" t="str">
        <x:v>平行工件XY</x:v>
      </x:c>
    </x:row>
    <x:row r="12" ht="24" customHeight="1">
      <x:c r="A12" s="24" t="n">
        <x:v>5</x:v>
      </x:c>
      <x:c r="B12" s="2" t="str">
        <x:v>H004</x:v>
      </x:c>
      <x:c r="C12" s="2" t="str">
        <x:v>旋入轨迹</x:v>
      </x:c>
      <x:c r="D12" s="17" t="n">
        <x:v>0.02897777478867205</x:v>
      </x:c>
      <x:c r="E12" s="17" t="n">
        <x:v>0.007764571353075622</x:v>
      </x:c>
      <x:c r="F12" s="17" t="n">
        <x:v>0.47</x:v>
      </x:c>
      <x:c r="G12" s="17" t="n">
        <x:v>1.4489109109770033</x:v>
      </x:c>
      <x:c r="H12" s="17" t="n">
        <x:v>0.38831134245708465</x:v>
      </x:c>
      <x:c r="I12" s="17" t="n">
        <x:v>0.13331238471279933</x:v>
      </x:c>
      <x:c r="J12" s="17" t="n">
        <x:v>0.7571347284672599</x:v>
      </x:c>
      <x:c r="K12" s="17" t="n">
        <x:v>-0.1474599065649038</x:v>
      </x:c>
      <x:c r="L12" s="17" t="n">
        <x:v>-0.7758346839195885</x:v>
      </x:c>
      <x:c r="M12" s="17" t="n">
        <x:v>-1.1983841782181983</x:v>
      </x:c>
      <x:c r="N12" s="17" t="n">
        <x:v>336.108977774789</x:v>
      </x:c>
      <x:c r="O12" s="17" t="n">
        <x:v>192.03776457135314</x:v>
      </x:c>
      <x:c r="P12" s="17" t="n">
        <x:v>-79.53000000000006</x:v>
      </x:c>
      <x:c r="Q12" s="17" t="n">
        <x:f>P12-$P$5</x:f>
        <x:v>0.469999999999942</x:v>
      </x:c>
      <x:c r="R12" s="2" t="str">
        <x:v>平行工件XY</x:v>
      </x:c>
    </x:row>
    <x:row r="13" ht="24" customHeight="1">
      <x:c r="A13" s="24" t="n">
        <x:v>6</x:v>
      </x:c>
      <x:c r="B13" s="2" t="str">
        <x:v>H005</x:v>
      </x:c>
      <x:c r="C13" s="2" t="str">
        <x:v>旋入轨迹</x:v>
      </x:c>
      <x:c r="D13" s="17" t="n">
        <x:v>0.028190778623577252</x:v>
      </x:c>
      <x:c r="E13" s="17" t="n">
        <x:v>0.01026060429977006</x:v>
      </x:c>
      <x:c r="F13" s="17" t="n">
        <x:v>0.46</x:v>
      </x:c>
      <x:c r="G13" s="17" t="n">
        <x:v>1.4095765978985055</x:v>
      </x:c>
      <x:c r="H13" s="17" t="n">
        <x:v>0.5131337360596703</x:v>
      </x:c>
      <x:c r="I13" s="17" t="n">
        <x:v>0.1800024842776057</x:v>
      </x:c>
      <x:c r="J13" s="17" t="n">
        <x:v>0.7394426502722783</x:v>
      </x:c>
      <x:c r="K13" s="17" t="n">
        <x:v>-0.1949877711799079</x:v>
      </x:c>
      <x:c r="L13" s="17" t="n">
        <x:v>-0.7563111128347488</x:v>
      </x:c>
      <x:c r="M13" s="17" t="n">
        <x:v>-1.1731977476112663</x:v>
      </x:c>
      <x:c r="N13" s="17" t="n">
        <x:v>336.10819077862385</x:v>
      </x:c>
      <x:c r="O13" s="17" t="n">
        <x:v>192.04026060429982</x:v>
      </x:c>
      <x:c r="P13" s="17" t="n">
        <x:v>-79.54000000000008</x:v>
      </x:c>
      <x:c r="Q13" s="17" t="n">
        <x:f>P13-$P$5</x:f>
        <x:v>0.4599999999999227</x:v>
      </x:c>
      <x:c r="R13" s="2" t="str">
        <x:v>平行工件XY</x:v>
      </x:c>
    </x:row>
    <x:row r="14" ht="24" customHeight="1">
      <x:c r="A14" s="24" t="n">
        <x:v>7</x:v>
      </x:c>
      <x:c r="B14" s="2" t="str">
        <x:v>H006</x:v>
      </x:c>
      <x:c r="C14" s="2" t="str">
        <x:v>旋入轨迹</x:v>
      </x:c>
      <x:c r="D14" s="17" t="n">
        <x:v>0.027189233611099498</x:v>
      </x:c>
      <x:c r="E14" s="17" t="n">
        <x:v>0.012678547852220983</x:v>
      </x:c>
      <x:c r="F14" s="17" t="n">
        <x:v>0.45</x:v>
      </x:c>
      <x:c r="G14" s="17" t="n">
        <x:v>1.3595171497482368</x:v>
      </x:c>
      <x:c r="H14" s="17" t="n">
        <x:v>0.6340463781308271</x:v>
      </x:c>
      <x:c r="I14" s="17" t="n">
        <x:v>0.22535676000606295</x:v>
      </x:c>
      <x:c r="J14" s="17" t="n">
        <x:v>0.7158765106704947</x:v>
      </x:c>
      <x:c r="K14" s="17" t="n">
        <x:v>-0.2409879635836746</x:v>
      </x:c>
      <x:c r="L14" s="17" t="n">
        <x:v>-0.7308909567896801</x:v>
      </x:c>
      <x:c r="M14" s="17" t="n">
        <x:v>-1.1479827509140188</x:v>
      </x:c>
      <x:c r="N14" s="17" t="n">
        <x:v>336.1071892336115</x:v>
      </x:c>
      <x:c r="O14" s="17" t="n">
        <x:v>192.04267854785223</x:v>
      </x:c>
      <x:c r="P14" s="17" t="n">
        <x:v>-79.55000000000007</x:v>
      </x:c>
      <x:c r="Q14" s="17" t="n">
        <x:f>P14-$P$5</x:f>
        <x:v>0.4499999999999318</x:v>
      </x:c>
      <x:c r="R14" s="2" t="str">
        <x:v>平行工件XY</x:v>
      </x:c>
    </x:row>
    <x:row r="15" ht="24" customHeight="1">
      <x:c r="A15" s="24" t="n">
        <x:v>8</x:v>
      </x:c>
      <x:c r="B15" s="2" t="str">
        <x:v>H007</x:v>
      </x:c>
      <x:c r="C15" s="2" t="str">
        <x:v>旋入轨迹</x:v>
      </x:c>
      <x:c r="D15" s="17" t="n">
        <x:v>0.02598076211353316</x:v>
      </x:c>
      <x:c r="E15" s="17" t="n">
        <x:v>0.014999999999999998</x:v>
      </x:c>
      <x:c r="F15" s="17" t="n">
        <x:v>0.44</x:v>
      </x:c>
      <x:c r="G15" s="17" t="n">
        <x:v>1.2991122986898662</x:v>
      </x:c>
      <x:c r="H15" s="17" t="n">
        <x:v>0.750128532496662</x:v>
      </x:c>
      <x:c r="I15" s="17" t="n">
        <x:v>0.26901619394178267</x:v>
      </x:c>
      <x:c r="J15" s="17" t="n">
        <x:v>0.6865575112150056</x:v>
      </x:c>
      <x:c r="K15" s="17" t="n">
        <x:v>-0.2851104147375195</x:v>
      </x:c>
      <x:c r="L15" s="17" t="n">
        <x:v>-0.6997360334461538</x:v>
      </x:c>
      <x:c r="M15" s="17" t="n">
        <x:v>-1.1227391392974289</x:v>
      </x:c>
      <x:c r="N15" s="17" t="n">
        <x:v>336.1059807621138</x:v>
      </x:c>
      <x:c r="O15" s="17" t="n">
        <x:v>192.04500000000007</x:v>
      </x:c>
      <x:c r="P15" s="17" t="n">
        <x:v>-79.56000000000009</x:v>
      </x:c>
      <x:c r="Q15" s="17" t="n">
        <x:f>P15-$P$5</x:f>
        <x:v>0.43999999999991246</x:v>
      </x:c>
      <x:c r="R15" s="2" t="str">
        <x:v>平行工件XY</x:v>
      </x:c>
    </x:row>
    <x:row r="16" ht="24" customHeight="1">
      <x:c r="A16" s="24" t="n">
        <x:v>9</x:v>
      </x:c>
      <x:c r="B16" s="2" t="str">
        <x:v>H008</x:v>
      </x:c>
      <x:c r="C16" s="2" t="str">
        <x:v>旋入轨迹</x:v>
      </x:c>
      <x:c r="D16" s="17" t="n">
        <x:v>0.024574561328669753</x:v>
      </x:c>
      <x:c r="E16" s="17" t="n">
        <x:v>0.01720729309053138</x:v>
      </x:c>
      <x:c r="F16" s="17" t="n">
        <x:v>0.43</x:v>
      </x:c>
      <x:c r="G16" s="17" t="n">
        <x:v>1.2288204199843749</x:v>
      </x:c>
      <x:c r="H16" s="17" t="n">
        <x:v>0.860496567620231</x:v>
      </x:c>
      <x:c r="I16" s="17" t="n">
        <x:v>0.31063191304980636</x:v>
      </x:c>
      <x:c r="J16" s="17" t="n">
        <x:v>0.6516596854435059</x:v>
      </x:c>
      <x:c r="K16" s="17" t="n">
        <x:v>-0.3270198281480178</x:v>
      </x:c>
      <x:c r="L16" s="17" t="n">
        <x:v>-0.663057327827622</x:v>
      </x:c>
      <x:c r="M16" s="17" t="n">
        <x:v>-1.0974668638976346</x:v>
      </x:c>
      <x:c r="N16" s="17" t="n">
        <x:v>336.10457456132906</x:v>
      </x:c>
      <x:c r="O16" s="17" t="n">
        <x:v>192.04720729309062</x:v>
      </x:c>
      <x:c r="P16" s="17" t="n">
        <x:v>-79.57000000000008</x:v>
      </x:c>
      <x:c r="Q16" s="17" t="n">
        <x:f>P16-$P$5</x:f>
        <x:v>0.42999999999992156</x:v>
      </x:c>
      <x:c r="R16" s="2" t="str">
        <x:v>平行工件XY</x:v>
      </x:c>
    </x:row>
    <x:row r="17" ht="24" customHeight="1">
      <x:c r="A17" s="24" t="n">
        <x:v>10</x:v>
      </x:c>
      <x:c r="B17" s="2" t="str">
        <x:v>H009</x:v>
      </x:c>
      <x:c r="C17" s="2" t="str">
        <x:v>旋入轨迹</x:v>
      </x:c>
      <x:c r="D17" s="17" t="n">
        <x:v>0.02298133329356934</x:v>
      </x:c>
      <x:c r="E17" s="17" t="n">
        <x:v>0.019283628290596176</x:v>
      </x:c>
      <x:c r="F17" s="17" t="n">
        <x:v>0.42</x:v>
      </x:c>
      <x:c r="G17" s="17" t="n">
        <x:v>1.1491751348861752</x:v>
      </x:c>
      <x:c r="H17" s="17" t="n">
        <x:v>0.9643106935218849</x:v>
      </x:c>
      <x:c r="I17" s="17" t="n">
        <x:v>0.34986835715818787</x:v>
      </x:c>
      <x:c r="J17" s="17" t="n">
        <x:v>0.6114104736383741</x:v>
      </x:c>
      <x:c r="K17" s="17" t="n">
        <x:v>-0.3663982790986386</x:v>
      </x:c>
      <x:c r="L17" s="17" t="n">
        <x:v>-0.6211144528341139</x:v>
      </x:c>
      <x:c r="M17" s="17" t="n">
        <x:v>-1.0721658758108614</x:v>
      </x:c>
      <x:c r="N17" s="17" t="n">
        <x:v>336.1029813332938</x:v>
      </x:c>
      <x:c r="O17" s="17" t="n">
        <x:v>192.04928362829065</x:v>
      </x:c>
      <x:c r="P17" s="17" t="n">
        <x:v>-79.5800000000001</x:v>
      </x:c>
      <x:c r="Q17" s="17" t="n">
        <x:f>P17-$P$5</x:f>
        <x:v>0.41999999999990223</x:v>
      </x:c>
      <x:c r="R17" s="2" t="str">
        <x:v>平行工件XY</x:v>
      </x:c>
    </x:row>
    <x:row r="18" ht="24" customHeight="1">
      <x:c r="A18" s="24" t="n">
        <x:v>11</x:v>
      </x:c>
      <x:c r="B18" s="2" t="str">
        <x:v>H010</x:v>
      </x:c>
      <x:c r="C18" s="2" t="str">
        <x:v>旋入轨迹</x:v>
      </x:c>
      <x:c r="D18" s="17" t="n">
        <x:v>0.021213203435596427</x:v>
      </x:c>
      <x:c r="E18" s="17" t="n">
        <x:v>0.021213203435596423</x:v>
      </x:c>
      <x:c r="F18" s="17" t="n">
        <x:v>0.41000000000000003</x:v>
      </x:c>
      <x:c r="G18" s="17" t="n">
        <x:v>1.0607813409199047</x:v>
      </x:c>
      <x:c r="H18" s="17" t="n">
        <x:v>1.0607813409199045</x:v>
      </x:c>
      <x:c r="I18" s="17" t="n">
        <x:v>0.3864064396489075</x:v>
      </x:c>
      <x:c r="J18" s="17" t="n">
        <x:v>0.5660905757351257</x:v>
      </x:c>
      <x:c r="K18" s="17" t="n">
        <x:v>-0.40294765920102843</x:v>
      </x:c>
      <x:c r="L18" s="17" t="n">
        <x:v>-0.5742145434520723</x:v>
      </x:c>
      <x:c r="M18" s="17" t="n">
        <x:v>-1.0468361260869465</x:v>
      </x:c>
      <x:c r="N18" s="17" t="n">
        <x:v>336.101213203436</x:v>
      </x:c>
      <x:c r="O18" s="17" t="n">
        <x:v>192.05121320343562</x:v>
      </x:c>
      <x:c r="P18" s="17" t="n">
        <x:v>-79.59000000000006</x:v>
      </x:c>
      <x:c r="Q18" s="17" t="n">
        <x:f>P18-$P$5</x:f>
        <x:v>0.40999999999993975</x:v>
      </x:c>
      <x:c r="R18" s="2" t="str">
        <x:v>平行工件XY</x:v>
      </x:c>
    </x:row>
    <x:row r="19" ht="24" customHeight="1">
      <x:c r="A19" s="24" t="n">
        <x:v>12</x:v>
      </x:c>
      <x:c r="B19" s="2" t="str">
        <x:v>H011</x:v>
      </x:c>
      <x:c r="C19" s="2" t="str">
        <x:v>旋入轨迹</x:v>
      </x:c>
      <x:c r="D19" s="17" t="n">
        <x:v>0.01928362829059618</x:v>
      </x:c>
      <x:c r="E19" s="17" t="n">
        <x:v>0.02298133329356934</x:v>
      </x:c>
      <x:c r="F19" s="17" t="n">
        <x:v>0.4</x:v>
      </x:c>
      <x:c r="G19" s="17" t="n">
        <x:v>0.9643106935218851</x:v>
      </x:c>
      <x:c r="H19" s="17" t="n">
        <x:v>1.1491751348861752</x:v>
      </x:c>
      <x:c r="I19" s="17" t="n">
        <x:v>0.4199466585752526</x:v>
      </x:c>
      <x:c r="J19" s="17" t="n">
        <x:v>0.5160330068570691</x:v>
      </x:c>
      <x:c r="K19" s="17" t="n">
        <x:v>-0.4363919452594519</x:v>
      </x:c>
      <x:c r="L19" s="17" t="n">
        <x:v>-0.5227105518692637</x:v>
      </x:c>
      <x:c r="M19" s="17" t="n">
        <x:v>-1.0214775657145152</x:v>
      </x:c>
      <x:c r="N19" s="17" t="n">
        <x:v>336.099283628291</x:v>
      </x:c>
      <x:c r="O19" s="17" t="n">
        <x:v>192.05298133329364</x:v>
      </x:c>
      <x:c r="P19" s="17" t="n">
        <x:v>-79.60000000000008</x:v>
      </x:c>
      <x:c r="Q19" s="17" t="n">
        <x:f>P19-$P$5</x:f>
        <x:v>0.3999999999999204</x:v>
      </x:c>
      <x:c r="R19" s="2" t="str">
        <x:v>平行工件XY</x:v>
      </x:c>
    </x:row>
    <x:row r="20" ht="24" customHeight="1">
      <x:c r="A20" s="24" t="n">
        <x:v>13</x:v>
      </x:c>
      <x:c r="B20" s="2" t="str">
        <x:v>H012</x:v>
      </x:c>
      <x:c r="C20" s="2" t="str">
        <x:v>旋入轨迹</x:v>
      </x:c>
      <x:c r="D20" s="17" t="n">
        <x:v>0.01720729309053138</x:v>
      </x:c>
      <x:c r="E20" s="17" t="n">
        <x:v>0.024574561328669753</x:v>
      </x:c>
      <x:c r="F20" s="17" t="n">
        <x:v>0.39</x:v>
      </x:c>
      <x:c r="G20" s="17" t="n">
        <x:v>0.860496567620231</x:v>
      </x:c>
      <x:c r="H20" s="17" t="n">
        <x:v>1.2288204199843749</x:v>
      </x:c>
      <x:c r="I20" s="17" t="n">
        <x:v>0.4502121122275887</x:v>
      </x:c>
      <x:c r="J20" s="17" t="n">
        <x:v>0.46162129732797</x:v>
      </x:c>
      <x:c r="K20" s="17" t="n">
        <x:v>-0.46647927463759814</x:v>
      </x:c>
      <x:c r="L20" s="17" t="n">
        <x:v>-0.4669989223295952</x:v>
      </x:c>
      <x:c r="M20" s="17" t="n">
        <x:v>-0.9960901456086644</x:v>
      </x:c>
      <x:c r="N20" s="17" t="n">
        <x:v>336.0972072930908</x:v>
      </x:c>
      <x:c r="O20" s="17" t="n">
        <x:v>192.05457456132874</x:v>
      </x:c>
      <x:c r="P20" s="17" t="n">
        <x:v>-79.61000000000007</x:v>
      </x:c>
      <x:c r="Q20" s="17" t="n">
        <x:f>P20-$P$5</x:f>
        <x:v>0.3899999999999295</x:v>
      </x:c>
      <x:c r="R20" s="2" t="str">
        <x:v>平行工件XY</x:v>
      </x:c>
    </x:row>
    <x:row r="21" ht="24" customHeight="1">
      <x:c r="A21" s="24" t="n">
        <x:v>14</x:v>
      </x:c>
      <x:c r="B21" s="2" t="str">
        <x:v>H013</x:v>
      </x:c>
      <x:c r="C21" s="2" t="str">
        <x:v>旋入轨迹</x:v>
      </x:c>
      <x:c r="D21" s="17" t="n">
        <x:v>0.015000000000000003</x:v>
      </x:c>
      <x:c r="E21" s="17" t="n">
        <x:v>0.025980762113533156</x:v>
      </x:c>
      <x:c r="F21" s="17" t="n">
        <x:v>0.38</x:v>
      </x:c>
      <x:c r="G21" s="17" t="n">
        <x:v>0.7501285324966623</x:v>
      </x:c>
      <x:c r="H21" s="17" t="n">
        <x:v>1.299112298689866</x:v>
      </x:c>
      <x:c r="I21" s="17" t="n">
        <x:v>0.4769513705686061</x:v>
      </x:c>
      <x:c r="J21" s="17" t="n">
        <x:v>0.4032868011819816</x:v>
      </x:c>
      <x:c r="K21" s="17" t="n">
        <x:v>-0.49298381277247677</x:v>
      </x:c>
      <x:c r="L21" s="17" t="n">
        <x:v>-0.4075166385694602</x:v>
      </x:c>
      <x:c r="M21" s="17" t="n">
        <x:v>-0.9706738165938366</x:v>
      </x:c>
      <x:c r="N21" s="17" t="n">
        <x:v>336.09500000000037</x:v>
      </x:c>
      <x:c r="O21" s="17" t="n">
        <x:v>192.05598076211356</x:v>
      </x:c>
      <x:c r="P21" s="17" t="n">
        <x:v>-79.62000000000009</x:v>
      </x:c>
      <x:c r="Q21" s="17" t="n">
        <x:f>P21-$P$5</x:f>
        <x:v>0.3799999999999102</x:v>
      </x:c>
      <x:c r="R21" s="2" t="str">
        <x:v>平行工件XY</x:v>
      </x:c>
    </x:row>
    <x:row r="22" ht="24" customHeight="1">
      <x:c r="A22" s="24" t="n">
        <x:v>15</x:v>
      </x:c>
      <x:c r="B22" s="2" t="str">
        <x:v>H014</x:v>
      </x:c>
      <x:c r="C22" s="2" t="str">
        <x:v>旋入轨迹</x:v>
      </x:c>
      <x:c r="D22" s="17" t="n">
        <x:v>0.012678547852220983</x:v>
      </x:c>
      <x:c r="E22" s="17" t="n">
        <x:v>0.027189233611099498</x:v>
      </x:c>
      <x:c r="F22" s="17" t="n">
        <x:v>0.37</x:v>
      </x:c>
      <x:c r="G22" s="17" t="n">
        <x:v>0.6340463781308271</x:v>
      </x:c>
      <x:c r="H22" s="17" t="n">
        <x:v>1.3595171497482368</x:v>
      </x:c>
      <x:c r="I22" s="17" t="n">
        <x:v>0.4999411526788857</x:v>
      </x:c>
      <x:c r="J22" s="17" t="n">
        <x:v>0.34150510350334584</x:v>
      </x:c>
      <x:c r="K22" s="17" t="n">
        <x:v>-0.5157074019935654</x:v>
      </x:c>
      <x:c r="L22" s="17" t="n">
        <x:v>-0.34473765264153733</x:v>
      </x:c>
      <x:c r="M22" s="17" t="n">
        <x:v>-0.9452285293881143</x:v>
      </x:c>
      <x:c r="N22" s="17" t="n">
        <x:v>336.0926785478525</x:v>
      </x:c>
      <x:c r="O22" s="17" t="n">
        <x:v>192.0571892336111</x:v>
      </x:c>
      <x:c r="P22" s="17" t="n">
        <x:v>-79.63000000000008</x:v>
      </x:c>
      <x:c r="Q22" s="17" t="n">
        <x:f>P22-$P$5</x:f>
        <x:v>0.3699999999999193</x:v>
      </x:c>
      <x:c r="R22" s="2" t="str">
        <x:v>平行工件XY</x:v>
      </x:c>
    </x:row>
    <x:row r="23" ht="24" customHeight="1">
      <x:c r="A23" s="24" t="n">
        <x:v>16</x:v>
      </x:c>
      <x:c r="B23" s="2" t="str">
        <x:v>H015</x:v>
      </x:c>
      <x:c r="C23" s="2" t="str">
        <x:v>旋入轨迹</x:v>
      </x:c>
      <x:c r="D23" s="17" t="n">
        <x:v>0.010260604299770064</x:v>
      </x:c>
      <x:c r="E23" s="17" t="n">
        <x:v>0.02819077862357725</x:v>
      </x:c>
      <x:c r="F23" s="17" t="n">
        <x:v>0.36</x:v>
      </x:c>
      <x:c r="G23" s="17" t="n">
        <x:v>0.5131337360596704</x:v>
      </x:c>
      <x:c r="H23" s="17" t="n">
        <x:v>1.4095765978985053</x:v>
      </x:c>
      <x:c r="I23" s="17" t="n">
        <x:v>0.5189887606070123</x:v>
      </x:c>
      <x:c r="J23" s="17" t="n">
        <x:v>0.2767915463878985</x:v>
      </x:c>
      <x:c r="K23" s="17" t="n">
        <x:v>-0.5344809841567715</x:v>
      </x:c>
      <x:c r="L23" s="17" t="n">
        <x:v>-0.27916872128893155</x:v>
      </x:c>
      <x:c r="M23" s="17" t="n">
        <x:v>-0.9197542345905507</x:v>
      </x:c>
      <x:c r="N23" s="17" t="n">
        <x:v>336.09026060430017</x:v>
      </x:c>
      <x:c r="O23" s="17" t="n">
        <x:v>192.05819077862367</x:v>
      </x:c>
      <x:c r="P23" s="17" t="n">
        <x:v>-79.64000000000004</x:v>
      </x:c>
      <x:c r="Q23" s="17" t="n">
        <x:f>P23-$P$5</x:f>
        <x:v>0.3599999999999568</x:v>
      </x:c>
      <x:c r="R23" s="2" t="str">
        <x:v>平行工件XY</x:v>
      </x:c>
    </x:row>
    <x:row r="24" ht="24" customHeight="1">
      <x:c r="A24" s="24" t="n">
        <x:v>17</x:v>
      </x:c>
      <x:c r="B24" s="2" t="str">
        <x:v>H016</x:v>
      </x:c>
      <x:c r="C24" s="2" t="str">
        <x:v>旋入轨迹</x:v>
      </x:c>
      <x:c r="D24" s="17" t="n">
        <x:v>0.007764571353075622</x:v>
      </x:c>
      <x:c r="E24" s="17" t="n">
        <x:v>0.02897777478867205</x:v>
      </x:c>
      <x:c r="F24" s="17" t="n">
        <x:v>0.35</x:v>
      </x:c>
      <x:c r="G24" s="17" t="n">
        <x:v>0.38831134245708465</x:v>
      </x:c>
      <x:c r="H24" s="17" t="n">
        <x:v>1.4489109109770033</x:v>
      </x:c>
      <x:c r="I24" s="17" t="n">
        <x:v>0.5339342219678292</x:v>
      </x:c>
      <x:c r="J24" s="17" t="n">
        <x:v>0.20969592457134784</x:v>
      </x:c>
      <x:c r="K24" s="17" t="n">
        <x:v>-0.549165792594522</x:v>
      </x:c>
      <x:c r="L24" s="17" t="n">
        <x:v>-0.2113446940397036</x:v>
      </x:c>
      <x:c r="M24" s="17" t="n">
        <x:v>-0.8942508826662152</x:v>
      </x:c>
      <x:c r="N24" s="17" t="n">
        <x:v>336.0877645713533</x:v>
      </x:c>
      <x:c r="O24" s="17" t="n">
        <x:v>192.0589777747887</x:v>
      </x:c>
      <x:c r="P24" s="17" t="n">
        <x:v>-79.65000000000006</x:v>
      </x:c>
      <x:c r="Q24" s="17" t="n">
        <x:f>P24-$P$5</x:f>
        <x:v>0.34999999999993747</x:v>
      </x:c>
      <x:c r="R24" s="2" t="str">
        <x:v>平行工件XY</x:v>
      </x:c>
    </x:row>
    <x:row r="25" ht="24" customHeight="1">
      <x:c r="A25" s="24" t="n">
        <x:v>18</x:v>
      </x:c>
      <x:c r="B25" s="2" t="str">
        <x:v>H017</x:v>
      </x:c>
      <x:c r="C25" s="2" t="str">
        <x:v>旋入轨迹</x:v>
      </x:c>
      <x:c r="D25" s="17" t="n">
        <x:v>0.0052094453300079125</x:v>
      </x:c>
      <x:c r="E25" s="17" t="n">
        <x:v>0.02954423259036624</x:v>
      </x:c>
      <x:c r="F25" s="17" t="n">
        <x:v>0.33999999999999997</x:v>
      </x:c>
      <x:c r="G25" s="17" t="n">
        <x:v>0.26052999550899314</x:v>
      </x:c>
      <x:c r="H25" s="17" t="n">
        <x:v>1.4772218047669123</x:v>
      </x:c>
      <x:c r="I25" s="17" t="n">
        <x:v>0.5446520973421307</x:v>
      </x:c>
      <x:c r="J25" s="17" t="n">
        <x:v>0.14079643318442275</x:v>
      </x:c>
      <x:c r="K25" s="17" t="n">
        <x:v>-0.5596543113464639</x:v>
      </x:c>
      <x:c r="L25" s="17" t="n">
        <x:v>-0.1418233149739071</x:v>
      </x:c>
      <x:c r="M25" s="17" t="n">
        <x:v>-0.8687184239422071</x:v>
      </x:c>
      <x:c r="N25" s="17" t="n">
        <x:v>336.0852094453304</x:v>
      </x:c>
      <x:c r="O25" s="17" t="n">
        <x:v>192.0595442325905</x:v>
      </x:c>
      <x:c r="P25" s="17" t="n">
        <x:v>-79.66000000000008</x:v>
      </x:c>
      <x:c r="Q25" s="17" t="n">
        <x:f>P25-$P$5</x:f>
        <x:v>0.33999999999991815</x:v>
      </x:c>
      <x:c r="R25" s="2" t="str">
        <x:v>平行工件XY</x:v>
      </x:c>
    </x:row>
    <x:row r="26" ht="24" customHeight="1">
      <x:c r="A26" s="24" t="n">
        <x:v>19</x:v>
      </x:c>
      <x:c r="B26" s="2" t="str">
        <x:v>H018</x:v>
      </x:c>
      <x:c r="C26" s="2" t="str">
        <x:v>旋入轨迹</x:v>
      </x:c>
      <x:c r="D26" s="17" t="n">
        <x:v>0.002614672282429744</x:v>
      </x:c>
      <x:c r="E26" s="17" t="n">
        <x:v>0.029885840942752366</x:v>
      </x:c>
      <x:c r="F26" s="17" t="n">
        <x:v>0.32999999999999996</x:v>
      </x:c>
      <x:c r="G26" s="17" t="n">
        <x:v>0.13076326307996372</x:v>
      </x:c>
      <x:c r="H26" s="17" t="n">
        <x:v>1.4942946400349715</x:v>
      </x:c>
      <x:c r="I26" s="17" t="n">
        <x:v>0.5510529139697592</x:v>
      </x:c>
      <x:c r="J26" s="17" t="n">
        <x:v>0.07069297988925768</x:v>
      </x:c>
      <x:c r="K26" s="17" t="n">
        <x:v>-0.5658710014568357</x:v>
      </x:c>
      <x:c r="L26" s="17" t="n">
        <x:v>-0.07117961674791312</x:v>
      </x:c>
      <x:c r="M26" s="17" t="n">
        <x:v>-0.843156808599455</x:v>
      </x:c>
      <x:c r="N26" s="17" t="n">
        <x:v>336.0826146722826</x:v>
      </x:c>
      <x:c r="O26" s="17" t="n">
        <x:v>192.05988584094274</x:v>
      </x:c>
      <x:c r="P26" s="17" t="n">
        <x:v>-79.67000000000007</x:v>
      </x:c>
      <x:c r="Q26" s="17" t="n">
        <x:f>P26-$P$5</x:f>
        <x:v>0.32999999999992724</x:v>
      </x:c>
      <x:c r="R26" s="2" t="str">
        <x:v>平行工件XY</x:v>
      </x:c>
    </x:row>
    <x:row r="27" ht="24" customHeight="1">
      <x:c r="A27" s="24" t="n">
        <x:v>20</x:v>
      </x:c>
      <x:c r="B27" s="2" t="str">
        <x:v>H019</x:v>
      </x:c>
      <x:c r="C27" s="2" t="str">
        <x:v>旋入轨迹</x:v>
      </x:c>
      <x:c r="D27" s="17" t="n">
        <x:v>1.8369701987210296e-18</x:v>
      </x:c>
      <x:c r="E27" s="17" t="n">
        <x:v>0.03</x:v>
      </x:c>
      <x:c r="F27" s="17" t="n">
        <x:v>0.32</x:v>
      </x:c>
      <x:c r="G27" s="17" t="n">
        <x:v>9.186949968260946e-17</x:v>
      </x:c>
      <x:c r="H27" s="17" t="n">
        <x:v>1.5</x:v>
      </x:c>
      <x:c r="I27" s="17" t="n">
        <x:v>0.5530841942627629</x:v>
      </x:c>
      <x:c r="J27" s="17" t="n">
        <x:v>6.189260534103871e-15</x:v>
      </x:c>
      <x:c r="K27" s="17" t="n">
        <x:v>-0.5677727952737425</x:v>
      </x:c>
      <x:c r="L27" s="17" t="n">
        <x:v>1.7421228116968858e-14</x:v>
      </x:c>
      <x:c r="M27" s="17" t="n">
        <x:v>-0.8175659866737476</x:v>
      </x:c>
      <x:c r="N27" s="17" t="n">
        <x:v>336.0800000000003</x:v>
      </x:c>
      <x:c r="O27" s="17" t="n">
        <x:v>192.06000000000006</x:v>
      </x:c>
      <x:c r="P27" s="17" t="n">
        <x:v>-79.68000000000006</x:v>
      </x:c>
      <x:c r="Q27" s="17" t="n">
        <x:f>P27-$P$5</x:f>
        <x:v>0.31999999999993634</x:v>
      </x:c>
      <x:c r="R27" s="2" t="str">
        <x:v>平行工件XY</x:v>
      </x:c>
    </x:row>
    <x:row r="28" ht="24" customHeight="1">
      <x:c r="A28" s="24" t="n">
        <x:v>21</x:v>
      </x:c>
      <x:c r="B28" s="2" t="str">
        <x:v>H020</x:v>
      </x:c>
      <x:c r="C28" s="2" t="str">
        <x:v>旋入轨迹</x:v>
      </x:c>
      <x:c r="D28" s="17" t="n">
        <x:v>-0.002614672282429747</x:v>
      </x:c>
      <x:c r="E28" s="17" t="n">
        <x:v>0.029885840942752366</x:v>
      </x:c>
      <x:c r="F28" s="17" t="n">
        <x:v>0.31</x:v>
      </x:c>
      <x:c r="G28" s="17" t="n">
        <x:v>-0.13076326307996386</x:v>
      </x:c>
      <x:c r="H28" s="17" t="n">
        <x:v>1.4942946400349715</x:v>
      </x:c>
      <x:c r="I28" s="17" t="n">
        <x:v>0.5507310560524382</x:v>
      </x:c>
      <x:c r="J28" s="17" t="n">
        <x:v>-0.07066106559164802</x:v>
      </x:c>
      <x:c r="K28" s="17" t="n">
        <x:v>-0.5653493601943922</x:v>
      </x:c>
      <x:c r="L28" s="17" t="n">
        <x:v>0.07112389715570355</x:v>
      </x:c>
      <x:c r="M28" s="17" t="n">
        <x:v>-0.7919459080595793</x:v>
      </x:c>
      <x:c r="N28" s="17" t="n">
        <x:v>336.0773853277179</x:v>
      </x:c>
      <x:c r="O28" s="17" t="n">
        <x:v>192.0598858409428</x:v>
      </x:c>
      <x:c r="P28" s="17" t="n">
        <x:v>-79.69000000000008</x:v>
      </x:c>
      <x:c r="Q28" s="17" t="n">
        <x:f>P28-$P$5</x:f>
        <x:v>0.309999999999917</x:v>
      </x:c>
      <x:c r="R28" s="2" t="str">
        <x:v>平行工件XY</x:v>
      </x:c>
    </x:row>
    <x:row r="29" ht="24" customHeight="1">
      <x:c r="A29" s="24" t="n">
        <x:v>22</x:v>
      </x:c>
      <x:c r="B29" s="2" t="str">
        <x:v>H021</x:v>
      </x:c>
      <x:c r="C29" s="2" t="str">
        <x:v>旋入轨迹</x:v>
      </x:c>
      <x:c r="D29" s="17" t="n">
        <x:v>-0.005209445330007909</x:v>
      </x:c>
      <x:c r="E29" s="17" t="n">
        <x:v>0.02954423259036624</x:v>
      </x:c>
      <x:c r="F29" s="17" t="n">
        <x:v>0.3</x:v>
      </x:c>
      <x:c r="G29" s="17" t="n">
        <x:v>-0.2605299955089929</x:v>
      </x:c>
      <x:c r="H29" s="17" t="n">
        <x:v>1.4772218047669123</x:v>
      </x:c>
      <x:c r="I29" s="17" t="n">
        <x:v>0.5440163708919972</x:v>
      </x:c>
      <x:c r="J29" s="17" t="n">
        <x:v>-0.14066945519082633</x:v>
      </x:c>
      <x:c r="K29" s="17" t="n">
        <x:v>-0.558623133295524</x:v>
      </x:c>
      <x:c r="L29" s="17" t="n">
        <x:v>0.14160142691343214</x:v>
      </x:c>
      <x:c r="M29" s="17" t="n">
        <x:v>-0.7662965225123284</x:v>
      </x:c>
      <x:c r="N29" s="17" t="n">
        <x:v>336.0747905546703</x:v>
      </x:c>
      <x:c r="O29" s="17" t="n">
        <x:v>192.05954423259044</x:v>
      </x:c>
      <x:c r="P29" s="17" t="n">
        <x:v>-79.70000000000007</x:v>
      </x:c>
      <x:c r="Q29" s="17" t="n">
        <x:f>P29-$P$5</x:f>
        <x:v>0.2999999999999261</x:v>
      </x:c>
      <x:c r="R29" s="2" t="str">
        <x:v>平行工件XY</x:v>
      </x:c>
    </x:row>
    <x:row r="30" ht="24" customHeight="1">
      <x:c r="A30" s="24" t="n">
        <x:v>23</x:v>
      </x:c>
      <x:c r="B30" s="2" t="str">
        <x:v>H022</x:v>
      </x:c>
      <x:c r="C30" s="2" t="str">
        <x:v>旋入轨迹</x:v>
      </x:c>
      <x:c r="D30" s="17" t="n">
        <x:v>-0.007764571353075626</x:v>
      </x:c>
      <x:c r="E30" s="17" t="n">
        <x:v>0.02897777478867205</x:v>
      </x:c>
      <x:c r="F30" s="17" t="n">
        <x:v>0.29000000000000004</x:v>
      </x:c>
      <x:c r="G30" s="17" t="n">
        <x:v>-0.3883113424570848</x:v>
      </x:c>
      <x:c r="H30" s="17" t="n">
        <x:v>1.4489109109770033</x:v>
      </x:c>
      <x:c r="I30" s="17" t="n">
        <x:v>0.5330004767629237</x:v>
      </x:c>
      <x:c r="J30" s="17" t="n">
        <x:v>-0.20941275214966953</x:v>
      </x:c>
      <x:c r="K30" s="17" t="n">
        <x:v>-0.5476491279465546</x:v>
      </x:c>
      <x:c r="L30" s="17" t="n">
        <x:v>0.21084914045440897</x:v>
      </x:c>
      <x:c r="M30" s="17" t="n">
        <x:v>-0.7406177796558004</x:v>
      </x:c>
      <x:c r="N30" s="17" t="n">
        <x:v>336.07223542864733</x:v>
      </x:c>
      <x:c r="O30" s="17" t="n">
        <x:v>192.05897777478873</x:v>
      </x:c>
      <x:c r="P30" s="17" t="n">
        <x:v>-79.71000000000006</x:v>
      </x:c>
      <x:c r="Q30" s="17" t="n">
        <x:f>P30-$P$5</x:f>
        <x:v>0.2899999999999352</x:v>
      </x:c>
      <x:c r="R30" s="2" t="str">
        <x:v>平行工件XY</x:v>
      </x:c>
    </x:row>
    <x:row r="31" ht="24" customHeight="1">
      <x:c r="A31" s="24" t="n">
        <x:v>24</x:v>
      </x:c>
      <x:c r="B31" s="2" t="str">
        <x:v>H023</x:v>
      </x:c>
      <x:c r="C31" s="2" t="str">
        <x:v>旋入轨迹</x:v>
      </x:c>
      <x:c r="D31" s="17" t="n">
        <x:v>-0.01026060429977006</x:v>
      </x:c>
      <x:c r="E31" s="17" t="n">
        <x:v>0.028190778623577252</x:v>
      </x:c>
      <x:c r="F31" s="17" t="n">
        <x:v>0.28</x:v>
      </x:c>
      <x:c r="G31" s="17" t="n">
        <x:v>-0.5131337360596703</x:v>
      </x:c>
      <x:c r="H31" s="17" t="n">
        <x:v>1.4095765978985055</x:v>
      </x:c>
      <x:c r="I31" s="17" t="n">
        <x:v>0.5177804517257094</x:v>
      </x:c>
      <x:c r="J31" s="17" t="n">
        <x:v>-0.27629435107515166</x:v>
      </x:c>
      <x:c r="K31" s="17" t="n">
        <x:v>-0.5325145130436524</x:v>
      </x:c>
      <x:c r="L31" s="17" t="n">
        <x:v>0.27829686178779267</x:v>
      </x:c>
      <x:c r="M31" s="17" t="n">
        <x:v>-0.7149096289921926</x:v>
      </x:c>
      <x:c r="N31" s="17" t="n">
        <x:v>336.0697393957006</x:v>
      </x:c>
      <x:c r="O31" s="17" t="n">
        <x:v>192.05819077862367</x:v>
      </x:c>
      <x:c r="P31" s="17" t="n">
        <x:v>-79.72000000000011</x:v>
      </x:c>
      <x:c r="Q31" s="17" t="n">
        <x:f>P31-$P$5</x:f>
        <x:v>0.27999999999988745</x:v>
      </x:c>
      <x:c r="R31" s="2" t="str">
        <x:v>平行工件XY</x:v>
      </x:c>
    </x:row>
    <x:row r="32" ht="24" customHeight="1">
      <x:c r="A32" s="24" t="n">
        <x:v>25</x:v>
      </x:c>
      <x:c r="B32" s="2" t="str">
        <x:v>H024</x:v>
      </x:c>
      <x:c r="C32" s="2" t="str">
        <x:v>旋入轨迹</x:v>
      </x:c>
      <x:c r="D32" s="17" t="n">
        <x:v>-0.01267854785222098</x:v>
      </x:c>
      <x:c r="E32" s="17" t="n">
        <x:v>0.0271892336110995</x:v>
      </x:c>
      <x:c r="F32" s="17" t="n">
        <x:v>0.27</x:v>
      </x:c>
      <x:c r="G32" s="17" t="n">
        <x:v>-0.634046378130827</x:v>
      </x:c>
      <x:c r="H32" s="17" t="n">
        <x:v>1.359517149748237</x:v>
      </x:c>
      <x:c r="I32" s="17" t="n">
        <x:v>0.49848896495730854</x:v>
      </x:c>
      <x:c r="J32" s="17" t="n">
        <x:v>-0.34074055254847646</x:v>
      </x:c>
      <x:c r="K32" s="17" t="n">
        <x:v>-0.513337965167211</x:v>
      </x:c>
      <x:c r="L32" s="17" t="n">
        <x:v>0.3433935160415443</x:v>
      </x:c>
      <x:c r="M32" s="17" t="n">
        <x:v>-0.6891720199065793</x:v>
      </x:c>
      <x:c r="N32" s="17" t="n">
        <x:v>336.0673214521482</x:v>
      </x:c>
      <x:c r="O32" s="17" t="n">
        <x:v>192.05718923361115</x:v>
      </x:c>
      <x:c r="P32" s="17" t="n">
        <x:v>-79.73000000000008</x:v>
      </x:c>
      <x:c r="Q32" s="17" t="n">
        <x:f>P32-$P$5</x:f>
        <x:v>0.26999999999992497</x:v>
      </x:c>
      <x:c r="R32" s="2" t="str">
        <x:v>平行工件XY</x:v>
      </x:c>
    </x:row>
    <x:row r="33" ht="24" customHeight="1">
      <x:c r="A33" s="24" t="n">
        <x:v>26</x:v>
      </x:c>
      <x:c r="B33" s="2" t="str">
        <x:v>H025</x:v>
      </x:c>
      <x:c r="C33" s="2" t="str">
        <x:v>旋入轨迹</x:v>
      </x:c>
      <x:c r="D33" s="17" t="n">
        <x:v>-0.014999999999999993</x:v>
      </x:c>
      <x:c r="E33" s="17" t="n">
        <x:v>0.02598076211353316</x:v>
      </x:c>
      <x:c r="F33" s="17" t="n">
        <x:v>0.26</x:v>
      </x:c>
      <x:c r="G33" s="17" t="n">
        <x:v>-0.7501285324966618</x:v>
      </x:c>
      <x:c r="H33" s="17" t="n">
        <x:v>1.2991122986898662</x:v>
      </x:c>
      <x:c r="I33" s="17" t="n">
        <x:v>0.47529273078824397</x:v>
      </x:c>
      <x:c r="J33" s="17" t="n">
        <x:v>-0.4022071307351323</x:v>
      </x:c>
      <x:c r="K33" s="17" t="n">
        <x:v>-0.49026879396376855</x:v>
      </x:c>
      <x:c r="L33" s="17" t="n">
        <x:v>0.40561261056189457</x:v>
      </x:c>
      <x:c r="M33" s="17" t="n">
        <x:v>-0.6634049016750474</x:v>
      </x:c>
      <x:c r="N33" s="17" t="n">
        <x:v>336.0650000000004</x:v>
      </x:c>
      <x:c r="O33" s="17" t="n">
        <x:v>192.0559807621136</x:v>
      </x:c>
      <x:c r="P33" s="17" t="n">
        <x:v>-79.74000000000007</x:v>
      </x:c>
      <x:c r="Q33" s="17" t="n">
        <x:f>P33-$P$5</x:f>
        <x:v>0.25999999999993406</x:v>
      </x:c>
      <x:c r="R33" s="2" t="str">
        <x:v>平行工件XY</x:v>
      </x:c>
    </x:row>
    <x:row r="34" ht="24" customHeight="1">
      <x:c r="A34" s="24" t="n">
        <x:v>27</x:v>
      </x:c>
      <x:c r="B34" s="2" t="str">
        <x:v>H026</x:v>
      </x:c>
      <x:c r="C34" s="2" t="str">
        <x:v>旋入轨迹</x:v>
      </x:c>
      <x:c r="D34" s="17" t="n">
        <x:v>-0.017207293090531383</x:v>
      </x:c>
      <x:c r="E34" s="17" t="n">
        <x:v>0.02457456132866975</x:v>
      </x:c>
      <x:c r="F34" s="17" t="n">
        <x:v>0.25</x:v>
      </x:c>
      <x:c r="G34" s="17" t="n">
        <x:v>-0.8604965676202311</x:v>
      </x:c>
      <x:c r="H34" s="17" t="n">
        <x:v>1.2288204199843749</x:v>
      </x:c>
      <x:c r="I34" s="17" t="n">
        <x:v>0.44839059940141623</x:v>
      </x:c>
      <x:c r="J34" s="17" t="n">
        <x:v>-0.46018524073728573</x:v>
      </x:c>
      <x:c r="K34" s="17" t="n">
        <x:v>-0.4634858415616932</x:v>
      </x:c>
      <x:c r="L34" s="17" t="n">
        <x:v>0.46445727973554213</x:v>
      </x:c>
      <x:c r="M34" s="17" t="n">
        <x:v>-0.6376082234692372</x:v>
      </x:c>
      <x:c r="N34" s="17" t="n">
        <x:v>336.0627927069097</x:v>
      </x:c>
      <x:c r="O34" s="17" t="n">
        <x:v>192.05457456132876</x:v>
      </x:c>
      <x:c r="P34" s="17" t="n">
        <x:v>-79.74999999999997</x:v>
      </x:c>
      <x:c r="Q34" s="17" t="n">
        <x:f>P34-$P$5</x:f>
        <x:v>0.2500000000000284</x:v>
      </x:c>
      <x:c r="R34" s="2" t="str">
        <x:v>平行工件XY</x:v>
      </x:c>
    </x:row>
    <x:row r="35" ht="24" customHeight="1">
      <x:c r="A35" s="24" t="n">
        <x:v>28</x:v>
      </x:c>
      <x:c r="B35" s="2" t="str">
        <x:v>H027</x:v>
      </x:c>
      <x:c r="C35" s="2" t="str">
        <x:v>旋入轨迹</x:v>
      </x:c>
      <x:c r="D35" s="17" t="n">
        <x:v>-0.01928362829059618</x:v>
      </x:c>
      <x:c r="E35" s="17" t="n">
        <x:v>0.02298133329356934</x:v>
      </x:c>
      <x:c r="F35" s="17" t="n">
        <x:v>0.24</x:v>
      </x:c>
      <x:c r="G35" s="17" t="n">
        <x:v>-0.9643106935218851</x:v>
      </x:c>
      <x:c r="H35" s="17" t="n">
        <x:v>1.1491751348861752</x:v>
      </x:c>
      <x:c r="I35" s="17" t="n">
        <x:v>0.4180113244788041</x:v>
      </x:c>
      <x:c r="J35" s="17" t="n">
        <x:v>-0.5142065597663392</x:v>
      </x:c>
      <x:c r="K35" s="17" t="n">
        <x:v>-0.4331961579581598</x:v>
      </x:c>
      <x:c r="L35" s="17" t="n">
        <x:v>0.5194648197224044</x:v>
      </x:c>
      <x:c r="M35" s="17" t="n">
        <x:v>-0.6117819343578083</x:v>
      </x:c>
      <x:c r="N35" s="17" t="n">
        <x:v>336.06071637170976</x:v>
      </x:c>
      <x:c r="O35" s="17" t="n">
        <x:v>192.05298133329362</x:v>
      </x:c>
      <x:c r="P35" s="17" t="n">
        <x:v>-79.76000000000008</x:v>
      </x:c>
      <x:c r="Q35" s="17" t="n">
        <x:f>P35-$P$5</x:f>
        <x:v>0.23999999999992383</x:v>
      </x:c>
      <x:c r="R35" s="2" t="str">
        <x:v>平行工件XY</x:v>
      </x:c>
    </x:row>
    <x:row r="36" ht="24" customHeight="1">
      <x:c r="A36" s="24" t="n">
        <x:v>29</x:v>
      </x:c>
      <x:c r="B36" s="2" t="str">
        <x:v>H028</x:v>
      </x:c>
      <x:c r="C36" s="2" t="str">
        <x:v>旋入轨迹</x:v>
      </x:c>
      <x:c r="D36" s="17" t="n">
        <x:v>-0.021213203435596423</x:v>
      </x:c>
      <x:c r="E36" s="17" t="n">
        <x:v>0.021213203435596427</x:v>
      </x:c>
      <x:c r="F36" s="17" t="n">
        <x:v>0.22999999999999998</x:v>
      </x:c>
      <x:c r="G36" s="17" t="n">
        <x:v>-1.0607813409199045</x:v>
      </x:c>
      <x:c r="H36" s="17" t="n">
        <x:v>1.0607813409199047</x:v>
      </x:c>
      <x:c r="I36" s="17" t="n">
        <x:v>0.38441105306179896</x:v>
      </x:c>
      <x:c r="J36" s="17" t="n">
        <x:v>-0.5638475864696899</x:v>
      </x:c>
      <x:c r="K36" s="17" t="n">
        <x:v>-0.399633456088815</x:v>
      </x:c>
      <x:c r="L36" s="17" t="n">
        <x:v>0.5702106563957287</x:v>
      </x:c>
      <x:c r="M36" s="17" t="n">
        <x:v>-0.5859259833067625</x:v>
      </x:c>
      <x:c r="N36" s="17" t="n">
        <x:v>336.0587867965646</x:v>
      </x:c>
      <x:c r="O36" s="17" t="n">
        <x:v>192.05121320343568</x:v>
      </x:c>
      <x:c r="P36" s="17" t="n">
        <x:v>-79.77000000000007</x:v>
      </x:c>
      <x:c r="Q36" s="17" t="n">
        <x:f>P36-$P$5</x:f>
        <x:v>0.22999999999993292</x:v>
      </x:c>
      <x:c r="R36" s="2" t="str">
        <x:v>平行工件XY</x:v>
      </x:c>
    </x:row>
    <x:row r="37" ht="24" customHeight="1">
      <x:c r="A37" s="24" t="n">
        <x:v>30</x:v>
      </x:c>
      <x:c r="B37" s="2" t="str">
        <x:v>H029</x:v>
      </x:c>
      <x:c r="C37" s="2" t="str">
        <x:v>旋入轨迹</x:v>
      </x:c>
      <x:c r="D37" s="17" t="n">
        <x:v>-0.022981333293569335</x:v>
      </x:c>
      <x:c r="E37" s="17" t="n">
        <x:v>0.019283628290596183</x:v>
      </x:c>
      <x:c r="F37" s="17" t="n">
        <x:v>0.21999999999999997</x:v>
      </x:c>
      <x:c r="G37" s="17" t="n">
        <x:v>-1.149175134886175</x:v>
      </x:c>
      <x:c r="H37" s="17" t="n">
        <x:v>0.9643106935218853</x:v>
      </x:c>
      <x:c r="I37" s="17" t="n">
        <x:v>0.34787058612274635</x:v>
      </x:c>
      <x:c r="J37" s="17" t="n">
        <x:v>-0.608733054202992</x:v>
      </x:c>
      <x:c r="K37" s="17" t="n">
        <x:v>-0.3630563526703597</x:v>
      </x:c>
      <x:c r="L37" s="17" t="n">
        <x:v>0.6163117077767433</x:v>
      </x:c>
      <x:c r="M37" s="17" t="n">
        <x:v>-0.5600403191794324</x:v>
      </x:c>
      <x:c r="N37" s="17" t="n">
        <x:v>336.0570186667068</x:v>
      </x:c>
      <x:c r="O37" s="17" t="n">
        <x:v>192.04928362829065</x:v>
      </x:c>
      <x:c r="P37" s="17" t="n">
        <x:v>-79.78000000000006</x:v>
      </x:c>
      <x:c r="Q37" s="17" t="n">
        <x:f>P37-$P$5</x:f>
        <x:v>0.21999999999994202</x:v>
      </x:c>
      <x:c r="R37" s="2" t="str">
        <x:v>平行工件XY</x:v>
      </x:c>
    </x:row>
    <x:row r="38" ht="24" customHeight="1">
      <x:c r="A38" s="24" t="n">
        <x:v>31</x:v>
      </x:c>
      <x:c r="B38" s="2" t="str">
        <x:v>H030</x:v>
      </x:c>
      <x:c r="C38" s="2" t="str">
        <x:v>旋入轨迹</x:v>
      </x:c>
      <x:c r="D38" s="17" t="n">
        <x:v>-0.024574561328669756</x:v>
      </x:c>
      <x:c r="E38" s="17" t="n">
        <x:v>0.017207293090531376</x:v>
      </x:c>
      <x:c r="F38" s="17" t="n">
        <x:v>0.21000000000000002</x:v>
      </x:c>
      <x:c r="G38" s="17" t="n">
        <x:v>-1.228820419984375</x:v>
      </x:c>
      <x:c r="H38" s="17" t="n">
        <x:v>0.8604965676202307</x:v>
      </x:c>
      <x:c r="I38" s="17" t="n">
        <x:v>0.30869245982501764</x:v>
      </x:c>
      <x:c r="J38" s="17" t="n">
        <x:v>-0.6485384449437578</x:v>
      </x:c>
      <x:c r="K38" s="17" t="n">
        <x:v>-0.32374640376967356</x:v>
      </x:c>
      <x:c r="L38" s="17" t="n">
        <x:v>0.6574291202049283</x:v>
      </x:c>
      <x:c r="M38" s="17" t="n">
        <x:v>-0.5341248907301834</x:v>
      </x:c>
      <x:c r="N38" s="17" t="n">
        <x:v>336.0554254386716</x:v>
      </x:c>
      <x:c r="O38" s="17" t="n">
        <x:v>192.0472072930906</x:v>
      </x:c>
      <x:c r="P38" s="17" t="n">
        <x:v>-79.79000000000008</x:v>
      </x:c>
      <x:c r="Q38" s="17" t="n">
        <x:f>P38-$P$5</x:f>
        <x:v>0.2099999999999227</x:v>
      </x:c>
      <x:c r="R38" s="2" t="str">
        <x:v>平行工件XY</x:v>
      </x:c>
    </x:row>
    <x:row r="39" ht="24" customHeight="1">
      <x:c r="A39" s="24" t="n">
        <x:v>32</x:v>
      </x:c>
      <x:c r="B39" s="2" t="str">
        <x:v>H031</x:v>
      </x:c>
      <x:c r="C39" s="2" t="str">
        <x:v>旋入轨迹</x:v>
      </x:c>
      <x:c r="D39" s="17" t="n">
        <x:v>-0.02598076211353316</x:v>
      </x:c>
      <x:c r="E39" s="17" t="n">
        <x:v>0.014999999999999998</x:v>
      </x:c>
      <x:c r="F39" s="17" t="n">
        <x:v>0.2</x:v>
      </x:c>
      <x:c r="G39" s="17" t="n">
        <x:v>-1.2991122986898662</x:v>
      </x:c>
      <x:c r="H39" s="17" t="n">
        <x:v>0.750128532496662</x:v>
      </x:c>
      <x:c r="I39" s="17" t="n">
        <x:v>0.26719789726780996</x:v>
      </x:c>
      <x:c r="J39" s="17" t="n">
        <x:v>-0.6829916193248454</x:v>
      </x:c>
      <x:c r="K39" s="17" t="n">
        <x:v>-0.2820059472349669</x:v>
      </x:c>
      <x:c r="L39" s="17" t="n">
        <x:v>0.6932703745638757</x:v>
      </x:c>
      <x:c r="M39" s="17" t="n">
        <x:v>-0.5081796466032636</x:v>
      </x:c>
      <x:c r="N39" s="17" t="n">
        <x:v>336.05401923788673</x:v>
      </x:c>
      <x:c r="O39" s="17" t="n">
        <x:v>192.04500000000004</x:v>
      </x:c>
      <x:c r="P39" s="17" t="n">
        <x:v>-79.80000000000007</x:v>
      </x:c>
      <x:c r="Q39" s="17" t="n">
        <x:f>P39-$P$5</x:f>
        <x:v>0.1999999999999318</x:v>
      </x:c>
      <x:c r="R39" s="2" t="str">
        <x:v>平行工件XY</x:v>
      </x:c>
    </x:row>
    <x:row r="40" ht="24" customHeight="1">
      <x:c r="A40" s="24" t="n">
        <x:v>33</x:v>
      </x:c>
      <x:c r="B40" s="2" t="str">
        <x:v>H032</x:v>
      </x:c>
      <x:c r="C40" s="2" t="str">
        <x:v>旋入轨迹</x:v>
      </x:c>
      <x:c r="D40" s="17" t="n">
        <x:v>-0.027189233611099498</x:v>
      </x:c>
      <x:c r="E40" s="17" t="n">
        <x:v>0.012678547852220985</x:v>
      </x:c>
      <x:c r="F40" s="17" t="n">
        <x:v>0.19</x:v>
      </x:c>
      <x:c r="G40" s="17" t="n">
        <x:v>-1.3595171497482368</x:v>
      </x:c>
      <x:c r="H40" s="17" t="n">
        <x:v>0.6340463781308272</x:v>
      </x:c>
      <x:c r="I40" s="17" t="n">
        <x:v>0.2237236788467384</x:v>
      </x:c>
      <x:c r="J40" s="17" t="n">
        <x:v>-0.7118736036516271</x:v>
      </x:c>
      <x:c r="K40" s="17" t="n">
        <x:v>-0.23815576742295338</x:v>
      </x:c>
      <x:c r="L40" s="17" t="n">
        <x:v>0.7235907743794024</x:v>
      </x:c>
      <x:c r="M40" s="17" t="n">
        <x:v>-0.48220453532450674</x:v>
      </x:c>
      <x:c r="N40" s="17" t="n">
        <x:v>336.05281076638926</x:v>
      </x:c>
      <x:c r="O40" s="17" t="n">
        <x:v>192.0426785478523</x:v>
      </x:c>
      <x:c r="P40" s="17" t="n">
        <x:v>-79.81000000000009</x:v>
      </x:c>
      <x:c r="Q40" s="17" t="n">
        <x:f>P40-$P$5</x:f>
        <x:v>0.18999999999991246</x:v>
      </x:c>
      <x:c r="R40" s="2" t="str">
        <x:v>平行工件XY</x:v>
      </x:c>
    </x:row>
    <x:row r="41" ht="24" customHeight="1">
      <x:c r="A41" s="24" t="n">
        <x:v>34</x:v>
      </x:c>
      <x:c r="B41" s="2" t="str">
        <x:v>H033</x:v>
      </x:c>
      <x:c r="C41" s="2" t="str">
        <x:v>旋入轨迹</x:v>
      </x:c>
      <x:c r="D41" s="17" t="n">
        <x:v>-0.02819077862357725</x:v>
      </x:c>
      <x:c r="E41" s="17" t="n">
        <x:v>0.010260604299770066</x:v>
      </x:c>
      <x:c r="F41" s="17" t="n">
        <x:v>0.18</x:v>
      </x:c>
      <x:c r="G41" s="17" t="n">
        <x:v>-1.4095765978985053</x:v>
      </x:c>
      <x:c r="H41" s="17" t="n">
        <x:v>0.5131337360596705</x:v>
      </x:c>
      <x:c r="I41" s="17" t="n">
        <x:v>0.17861897644516703</x:v>
      </x:c>
      <x:c r="J41" s="17" t="n">
        <x:v>-0.7350185958443387</x:v>
      </x:c>
      <x:c r="K41" s="17" t="n">
        <x:v>-0.19253260086772395</x:v>
      </x:c>
      <x:c r="L41" s="17" t="n">
        <x:v>0.7481943410055195</x:v>
      </x:c>
      <x:c r="M41" s="17" t="n">
        <x:v>-0.4561995052970029</x:v>
      </x:c>
      <x:c r="N41" s="17" t="n">
        <x:v>336.0518092213767</x:v>
      </x:c>
      <x:c r="O41" s="17" t="n">
        <x:v>192.04026060429982</x:v>
      </x:c>
      <x:c r="P41" s="17" t="n">
        <x:v>-79.82000000000008</x:v>
      </x:c>
      <x:c r="Q41" s="17" t="n">
        <x:f>P41-$P$5</x:f>
        <x:v>0.17999999999992156</x:v>
      </x:c>
      <x:c r="R41" s="2" t="str">
        <x:v>平行工件XY</x:v>
      </x:c>
    </x:row>
    <x:row r="42" ht="24" customHeight="1">
      <x:c r="A42" s="24" t="n">
        <x:v>35</x:v>
      </x:c>
      <x:c r="B42" s="2" t="str">
        <x:v>H034</x:v>
      </x:c>
      <x:c r="C42" s="2" t="str">
        <x:v>旋入轨迹</x:v>
      </x:c>
      <x:c r="D42" s="17" t="n">
        <x:v>-0.028977774788672046</x:v>
      </x:c>
      <x:c r="E42" s="17" t="n">
        <x:v>0.00776457135307563</x:v>
      </x:c>
      <x:c r="F42" s="17" t="n">
        <x:v>0.16999999999999998</x:v>
      </x:c>
      <x:c r="G42" s="17" t="n">
        <x:v>-1.4489109109770033</x:v>
      </x:c>
      <x:c r="H42" s="17" t="n">
        <x:v>0.38831134245708504</x:v>
      </x:c>
      <x:c r="I42" s="17" t="n">
        <x:v>0.13224219277327598</x:v>
      </x:c>
      <x:c r="J42" s="17" t="n">
        <x:v>-0.7523132684611026</x:v>
      </x:c>
      <x:c r="K42" s="17" t="n">
        <x:v>-0.14548650446046205</x:v>
      </x:c>
      <x:c r="L42" s="17" t="n">
        <x:v>0.7669341520484978</x:v>
      </x:c>
      <x:c r="M42" s="17" t="n">
        <x:v>-0.43016450479884377</x:v>
      </x:c>
      <x:c r="N42" s="17" t="n">
        <x:v>336.0510222252116</x:v>
      </x:c>
      <x:c r="O42" s="17" t="n">
        <x:v>192.03776457135314</x:v>
      </x:c>
      <x:c r="P42" s="17" t="n">
        <x:v>-79.83000000000004</x:v>
      </x:c>
      <x:c r="Q42" s="17" t="n">
        <x:f>P42-$P$5</x:f>
        <x:v>0.16999999999995907</x:v>
      </x:c>
      <x:c r="R42" s="2" t="str">
        <x:v>平行工件XY</x:v>
      </x:c>
    </x:row>
    <x:row r="43" ht="24" customHeight="1">
      <x:c r="A43" s="24" t="n">
        <x:v>36</x:v>
      </x:c>
      <x:c r="B43" s="2" t="str">
        <x:v>H035</x:v>
      </x:c>
      <x:c r="C43" s="2" t="str">
        <x:v>旋入轨迹</x:v>
      </x:c>
      <x:c r="D43" s="17" t="n">
        <x:v>-0.02954423259036624</x:v>
      </x:c>
      <x:c r="E43" s="17" t="n">
        <x:v>0.005209445330007908</x:v>
      </x:c>
      <x:c r="F43" s="17" t="n">
        <x:v>0.15999999999999998</x:v>
      </x:c>
      <x:c r="G43" s="17" t="n">
        <x:v>-1.4772218047669123</x:v>
      </x:c>
      <x:c r="H43" s="17" t="n">
        <x:v>0.26052999550899286</x:v>
      </x:c>
      <x:c r="I43" s="17" t="n">
        <x:v>0.08495784258216839</x:v>
      </x:c>
      <x:c r="J43" s="17" t="n">
        <x:v>-0.7636954581531527</x:v>
      </x:c>
      <x:c r="K43" s="17" t="n">
        <x:v>-0.09737811018729171</x:v>
      </x:c>
      <x:c r="L43" s="17" t="n">
        <x:v>0.7797121675174444</x:v>
      </x:c>
      <x:c r="M43" s="17" t="n">
        <x:v>-0.40409948197694573</x:v>
      </x:c>
      <x:c r="N43" s="17" t="n">
        <x:v>336.05045576741</x:v>
      </x:c>
      <x:c r="O43" s="17" t="n">
        <x:v>192.03520944533005</x:v>
      </x:c>
      <x:c r="P43" s="17" t="n">
        <x:v>-79.84000000000006</x:v>
      </x:c>
      <x:c r="Q43" s="17" t="n">
        <x:f>P43-$P$5</x:f>
        <x:v>0.15999999999993975</x:v>
      </x:c>
      <x:c r="R43" s="2" t="str">
        <x:v>平行工件XY</x:v>
      </x:c>
    </x:row>
    <x:row r="44" ht="24" customHeight="1">
      <x:c r="A44" s="24" t="n">
        <x:v>37</x:v>
      </x:c>
      <x:c r="B44" s="2" t="str">
        <x:v>H036</x:v>
      </x:c>
      <x:c r="C44" s="2" t="str">
        <x:v>旋入轨迹</x:v>
      </x:c>
      <x:c r="D44" s="17" t="n">
        <x:v>-0.029885840942752366</x:v>
      </x:c>
      <x:c r="E44" s="17" t="n">
        <x:v>0.0026146722824297456</x:v>
      </x:c>
      <x:c r="F44" s="17" t="n">
        <x:v>0.15000000000000002</x:v>
      </x:c>
      <x:c r="G44" s="17" t="n">
        <x:v>-1.4942946400349715</x:v>
      </x:c>
      <x:c r="H44" s="17" t="n">
        <x:v>0.1307632630799638</x:v>
      </x:c>
      <x:c r="I44" s="17" t="n">
        <x:v>0.037133507480740374</x:v>
      </x:c>
      <x:c r="J44" s="17" t="n">
        <x:v>-0.7691523372017668</x:v>
      </x:c>
      <x:c r="K44" s="17" t="n">
        <x:v>-0.04857579238424652</x:v>
      </x:c>
      <x:c r="L44" s="17" t="n">
        <x:v>0.786478593900909</x:v>
      </x:c>
      <x:c r="M44" s="17" t="n">
        <x:v>-0.3780043848449254</x:v>
      </x:c>
      <x:c r="N44" s="17" t="n">
        <x:v>336.0501141590576</x:v>
      </x:c>
      <x:c r="O44" s="17" t="n">
        <x:v>192.03261467228248</x:v>
      </x:c>
      <x:c r="P44" s="17" t="n">
        <x:v>-79.85000000000008</x:v>
      </x:c>
      <x:c r="Q44" s="17" t="n">
        <x:f>P44-$P$5</x:f>
        <x:v>0.14999999999992042</x:v>
      </x:c>
      <x:c r="R44" s="2" t="str">
        <x:v>平行工件XY</x:v>
      </x:c>
    </x:row>
    <x:row r="45" ht="24" customHeight="1">
      <x:c r="A45" s="24" t="n">
        <x:v>38</x:v>
      </x:c>
      <x:c r="B45" s="2" t="str">
        <x:v>H037</x:v>
      </x:c>
      <x:c r="C45" s="2" t="str">
        <x:v>旋入轨迹</x:v>
      </x:c>
      <x:c r="D45" s="17" t="n">
        <x:v>-0.03</x:v>
      </x:c>
      <x:c r="E45" s="17" t="n">
        <x:v>3.673940397442059e-18</x:v>
      </x:c>
      <x:c r="F45" s="17" t="n">
        <x:v>0.14</x:v>
      </x:c>
      <x:c r="G45" s="17" t="n">
        <x:v>-1.5</x:v>
      </x:c>
      <x:c r="H45" s="17" t="n">
        <x:v>1.8373899936521892e-16</x:v>
      </x:c>
      <x:c r="I45" s="17" t="n">
        <x:v>-0.010863109070440127</x:v>
      </x:c>
      <x:c r="J45" s="17" t="n">
        <x:v>-0.7687181646177487</x:v>
      </x:c>
      <x:c r="K45" s="17" t="n">
        <x:v>0.0005472252653105488</x:v>
      </x:c>
      <x:c r="L45" s="17" t="n">
        <x:v>0.7872308396324479</x:v>
      </x:c>
      <x:c r="M45" s="17" t="n">
        <x:v>-0.3518791612845515</x:v>
      </x:c>
      <x:c r="N45" s="17" t="n">
        <x:v>336.0500000000003</x:v>
      </x:c>
      <x:c r="O45" s="17" t="n">
        <x:v>192.03000000000006</x:v>
      </x:c>
      <x:c r="P45" s="17" t="n">
        <x:v>-79.86000000000007</x:v>
      </x:c>
      <x:c r="Q45" s="17" t="n">
        <x:f>P45-$P$5</x:f>
        <x:v>0.13999999999992951</x:v>
      </x:c>
      <x:c r="R45" s="2" t="str">
        <x:v>平行工件XY</x:v>
      </x:c>
    </x:row>
    <x:row r="46" ht="24" customHeight="1">
      <x:c r="A46" s="24" t="n">
        <x:v>39</x:v>
      </x:c>
      <x:c r="B46" s="2" t="str">
        <x:v>H038</x:v>
      </x:c>
      <x:c r="C46" s="2" t="str">
        <x:v>旋入轨迹</x:v>
      </x:c>
      <x:c r="D46" s="17" t="n">
        <x:v>-0.029885840942752366</x:v>
      </x:c>
      <x:c r="E46" s="17" t="n">
        <x:v>-0.002614672282429738</x:v>
      </x:c>
      <x:c r="F46" s="17" t="n">
        <x:v>0.13</x:v>
      </x:c>
      <x:c r="G46" s="17" t="n">
        <x:v>-1.4942946400349715</x:v>
      </x:c>
      <x:c r="H46" s="17" t="n">
        <x:v>-0.13076326307996342</x:v>
      </x:c>
      <x:c r="I46" s="17" t="n">
        <x:v>-0.05866700508739776</x:v>
      </x:c>
      <x:c r="J46" s="17" t="n">
        <x:v>-0.7624717122195357</x:v>
      </x:c>
      <x:c r="K46" s="17" t="n">
        <x:v>0.04961579515519082</x:v>
      </x:c>
      <x:c r="L46" s="17" t="n">
        <x:v>0.7820121164375803</x:v>
      </x:c>
      <x:c r="M46" s="17" t="n">
        <x:v>-0.3257237590437706</x:v>
      </x:c>
      <x:c r="N46" s="17" t="n">
        <x:v>336.0501141590575</x:v>
      </x:c>
      <x:c r="O46" s="17" t="n">
        <x:v>192.02738532771764</x:v>
      </x:c>
      <x:c r="P46" s="17" t="n">
        <x:v>-79.87000000000003</x:v>
      </x:c>
      <x:c r="Q46" s="17" t="n">
        <x:f>P46-$P$5</x:f>
        <x:v>0.12999999999996703</x:v>
      </x:c>
      <x:c r="R46" s="2" t="str">
        <x:v>平行工件XY</x:v>
      </x:c>
    </x:row>
    <x:row r="47" ht="24" customHeight="1">
      <x:c r="A47" s="24" t="n">
        <x:v>40</x:v>
      </x:c>
      <x:c r="B47" s="2" t="str">
        <x:v>H039</x:v>
      </x:c>
      <x:c r="C47" s="2" t="str">
        <x:v>旋入轨迹</x:v>
      </x:c>
      <x:c r="D47" s="17" t="n">
        <x:v>-0.02954423259036624</x:v>
      </x:c>
      <x:c r="E47" s="17" t="n">
        <x:v>-0.005209445330007914</x:v>
      </x:c>
      <x:c r="F47" s="17" t="n">
        <x:v>0.12</x:v>
      </x:c>
      <x:c r="G47" s="17" t="n">
        <x:v>-1.4772218047669123</x:v>
      </x:c>
      <x:c r="H47" s="17" t="n">
        <x:v>-0.2605299955089932</x:v>
      </x:c>
      <x:c r="I47" s="17" t="n">
        <x:v>-0.1059185650274051</x:v>
      </x:c>
      <x:c r="J47" s="17" t="n">
        <x:v>-0.7505334558715386</x:v>
      </x:c>
      <x:c r="K47" s="17" t="n">
        <x:v>0.09825577580397644</x:v>
      </x:c>
      <x:c r="L47" s="17" t="n">
        <x:v>0.7709097401975333</x:v>
      </x:c>
      <x:c r="M47" s="17" t="n">
        <x:v>-0.29953812574063926</x:v>
      </x:c>
      <x:c r="N47" s="17" t="n">
        <x:v>336.05045576741</x:v>
      </x:c>
      <x:c r="O47" s="17" t="n">
        <x:v>192.02479055467006</x:v>
      </x:c>
      <x:c r="P47" s="17" t="n">
        <x:v>-79.88000000000008</x:v>
      </x:c>
      <x:c r="Q47" s="17" t="n">
        <x:f>P47-$P$5</x:f>
        <x:v>0.11999999999991928</x:v>
      </x:c>
      <x:c r="R47" s="2" t="str">
        <x:v>平行工件XY</x:v>
      </x:c>
    </x:row>
    <x:row r="48" ht="24" customHeight="1">
      <x:c r="A48" s="24" t="n">
        <x:v>41</x:v>
      </x:c>
      <x:c r="B48" s="2" t="str">
        <x:v>H040</x:v>
      </x:c>
      <x:c r="C48" s="2" t="str">
        <x:v>旋入轨迹</x:v>
      </x:c>
      <x:c r="D48" s="17" t="n">
        <x:v>-0.02897777478867205</x:v>
      </x:c>
      <x:c r="E48" s="17" t="n">
        <x:v>-0.007764571353075624</x:v>
      </x:c>
      <x:c r="F48" s="17" t="n">
        <x:v>0.10999999999999999</x:v>
      </x:c>
      <x:c r="G48" s="17" t="n">
        <x:v>-1.4489109109770033</x:v>
      </x:c>
      <x:c r="H48" s="17" t="n">
        <x:v>-0.3883113424570847</x:v>
      </x:c>
      <x:c r="I48" s="17" t="n">
        <x:v>-0.15226609411761557</x:v>
      </x:c>
      <x:c r="J48" s="17" t="n">
        <x:v>-0.7330626143982283</x:v>
      </x:c>
      <x:c r="K48" s="17" t="n">
        <x:v>0.14609693934685897</x:v>
      </x:c>
      <x:c r="L48" s="17" t="n">
        <x:v>0.7540531825579745</x:v>
      </x:c>
      <x:c r="M48" s="17" t="n">
        <x:v>-0.27332220886509695</x:v>
      </x:c>
      <x:c r="N48" s="17" t="n">
        <x:v>336.0510222252117</x:v>
      </x:c>
      <x:c r="O48" s="17" t="n">
        <x:v>192.02223542864704</x:v>
      </x:c>
      <x:c r="P48" s="17" t="n">
        <x:v>-79.89000000000007</x:v>
      </x:c>
      <x:c r="Q48" s="17" t="n">
        <x:f>P48-$P$5</x:f>
        <x:v>0.10999999999992838</x:v>
      </x:c>
      <x:c r="R48" s="2" t="str">
        <x:v>平行工件XY</x:v>
      </x:c>
    </x:row>
    <x:row r="49" ht="24" customHeight="1">
      <x:c r="A49" s="24" t="n">
        <x:v>42</x:v>
      </x:c>
      <x:c r="B49" s="2" t="str">
        <x:v>H041</x:v>
      </x:c>
      <x:c r="C49" s="2" t="str">
        <x:v>旋入轨迹</x:v>
      </x:c>
      <x:c r="D49" s="17" t="n">
        <x:v>-0.028190778623577252</x:v>
      </x:c>
      <x:c r="E49" s="17" t="n">
        <x:v>-0.010260604299770059</x:v>
      </x:c>
      <x:c r="F49" s="17" t="n">
        <x:v>0.09999999999999998</x:v>
      </x:c>
      <x:c r="G49" s="17" t="n">
        <x:v>-1.4095765978985055</x:v>
      </x:c>
      <x:c r="H49" s="17" t="n">
        <x:v>-0.5131337360596702</x:v>
      </x:c>
      <x:c r="I49" s="17" t="n">
        <x:v>-0.197368193690937</x:v>
      </x:c>
      <x:c r="J49" s="17" t="n">
        <x:v>-0.7102541093463506</x:v>
      </x:c>
      <x:c r="K49" s="17" t="n">
        <x:v>0.1927758304136355</x:v>
      </x:c>
      <x:c r="L49" s="17" t="n">
        <x:v>0.7316119209341263</x:v>
      </x:c>
      <x:c r="M49" s="17" t="n">
        <x:v>-0.24707595578180286</x:v>
      </x:c>
      <x:c r="N49" s="17" t="n">
        <x:v>336.0518092213768</x:v>
      </x:c>
      <x:c r="O49" s="17" t="n">
        <x:v>192.0197393957003</x:v>
      </x:c>
      <x:c r="P49" s="17" t="n">
        <x:v>-79.9</x:v>
      </x:c>
      <x:c r="Q49" s="17" t="n">
        <x:f>P49-$P$5</x:f>
        <x:v>0.09999999999999432</x:v>
      </x:c>
      <x:c r="R49" s="2" t="str">
        <x:v>平行工件XY</x:v>
      </x:c>
    </x:row>
    <x:row r="50" ht="24" customHeight="1">
      <x:c r="A50" s="24" t="n">
        <x:v>43</x:v>
      </x:c>
      <x:c r="B50" s="2" t="str">
        <x:v>H042</x:v>
      </x:c>
      <x:c r="C50" s="2" t="str">
        <x:v>旋入轨迹</x:v>
      </x:c>
      <x:c r="D50" s="17" t="n">
        <x:v>-0.0271892336110995</x:v>
      </x:c>
      <x:c r="E50" s="17" t="n">
        <x:v>-0.012678547852220978</x:v>
      </x:c>
      <x:c r="F50" s="17" t="n">
        <x:v>0.09000000000000002</x:v>
      </x:c>
      <x:c r="G50" s="17" t="n">
        <x:v>-1.359517149748237</x:v>
      </x:c>
      <x:c r="H50" s="17" t="n">
        <x:v>-0.6340463781308269</x:v>
      </x:c>
      <x:c r="I50" s="17" t="n">
        <x:v>-0.2408959725380103</x:v>
      </x:c>
      <x:c r="J50" s="17" t="n">
        <x:v>-0.6823355084209717</x:v>
      </x:c>
      <x:c r="K50" s="17" t="n">
        <x:v>0.23793855186059984</x:v>
      </x:c>
      <x:c r="L50" s="17" t="n">
        <x:v>0.7037931301543553</x:v>
      </x:c>
      <x:c r="M50" s="17" t="n">
        <x:v>-0.22079931373329023</x:v>
      </x:c>
      <x:c r="N50" s="17" t="n">
        <x:v>336.05281076638926</x:v>
      </x:c>
      <x:c r="O50" s="17" t="n">
        <x:v>192.01732145214777</x:v>
      </x:c>
      <x:c r="P50" s="17" t="n">
        <x:v>-79.91000000000008</x:v>
      </x:c>
      <x:c r="Q50" s="17" t="n">
        <x:f>P50-$P$5</x:f>
        <x:v>0.08999999999991815</x:v>
      </x:c>
      <x:c r="R50" s="2" t="str">
        <x:v>平行工件XY</x:v>
      </x:c>
    </x:row>
    <x:row r="51" ht="24" customHeight="1">
      <x:c r="A51" s="24" t="n">
        <x:v>44</x:v>
      </x:c>
      <x:c r="B51" s="2" t="str">
        <x:v>H043</x:v>
      </x:c>
      <x:c r="C51" s="2" t="str">
        <x:v>旋入轨迹</x:v>
      </x:c>
      <x:c r="D51" s="17" t="n">
        <x:v>-0.025980762113533156</x:v>
      </x:c>
      <x:c r="E51" s="17" t="n">
        <x:v>-0.015000000000000003</x:v>
      </x:c>
      <x:c r="F51" s="17" t="n">
        <x:v>0.08000000000000002</x:v>
      </x:c>
      <x:c r="G51" s="17" t="n">
        <x:v>-1.299112298689866</x:v>
      </x:c>
      <x:c r="H51" s="17" t="n">
        <x:v>-0.7501285324966623</x:v>
      </x:c>
      <x:c r="I51" s="17" t="n">
        <x:v>-0.28253509208065614</x:v>
      </x:c>
      <x:c r="J51" s="17" t="n">
        <x:v>-0.6495640046807258</x:v>
      </x:c>
      <x:c r="K51" s="17" t="n">
        <x:v>0.2812434546474523</x:v>
      </x:c>
      <x:c r="L51" s="17" t="n">
        <x:v>0.67083925407824</x:v>
      </x:c>
      <x:c r="M51" s="17" t="n">
        <x:v>-0.19449222984431072</x:v>
      </x:c>
      <x:c r="N51" s="17" t="n">
        <x:v>336.05401923788685</x:v>
      </x:c>
      <x:c r="O51" s="17" t="n">
        <x:v>192.01500000000013</x:v>
      </x:c>
      <x:c r="P51" s="17" t="n">
        <x:v>-79.92000000000007</x:v>
      </x:c>
      <x:c r="Q51" s="17" t="n">
        <x:f>P51-$P$5</x:f>
        <x:v>0.07999999999992724</x:v>
      </x:c>
      <x:c r="R51" s="2" t="str">
        <x:v>平行工件XY</x:v>
      </x:c>
    </x:row>
    <x:row r="52" ht="24" customHeight="1">
      <x:c r="A52" s="24" t="n">
        <x:v>45</x:v>
      </x:c>
      <x:c r="B52" s="2" t="str">
        <x:v>H044</x:v>
      </x:c>
      <x:c r="C52" s="2" t="str">
        <x:v>旋入轨迹</x:v>
      </x:c>
      <x:c r="D52" s="17" t="n">
        <x:v>-0.024574561328669753</x:v>
      </x:c>
      <x:c r="E52" s="17" t="n">
        <x:v>-0.017207293090531383</x:v>
      </x:c>
      <x:c r="F52" s="17" t="n">
        <x:v>0.07</x:v>
      </x:c>
      <x:c r="G52" s="17" t="n">
        <x:v>-1.2288204199843749</x:v>
      </x:c>
      <x:c r="H52" s="17" t="n">
        <x:v>-0.8604965676202311</x:v>
      </x:c>
      <x:c r="I52" s="17" t="n">
        <x:v>-0.3219876454085291</x:v>
      </x:c>
      <x:c r="J52" s="17" t="n">
        <x:v>-0.6122234729288024</x:v>
      </x:c>
      <x:c r="K52" s="17" t="n">
        <x:v>0.32236371116796464</x:v>
      </x:c>
      <x:c r="L52" s="17" t="n">
        <x:v>0.6330254903831718</x:v>
      </x:c>
      <x:c r="M52" s="17" t="n">
        <x:v>-0.16815465112332303</x:v>
      </x:c>
      <x:c r="N52" s="17" t="n">
        <x:v>336.0554254386717</x:v>
      </x:c>
      <x:c r="O52" s="17" t="n">
        <x:v>192.01279270690952</x:v>
      </x:c>
      <x:c r="P52" s="17" t="n">
        <x:v>-79.93000000000006</x:v>
      </x:c>
      <x:c r="Q52" s="17" t="n">
        <x:f>P52-$P$5</x:f>
        <x:v>0.06999999999993634</x:v>
      </x:c>
      <x:c r="R52" s="2" t="str">
        <x:v>平行工件XY</x:v>
      </x:c>
    </x:row>
    <x:row r="53" ht="24" customHeight="1">
      <x:c r="A53" s="24" t="n">
        <x:v>46</x:v>
      </x:c>
      <x:c r="B53" s="2" t="str">
        <x:v>H045</x:v>
      </x:c>
      <x:c r="C53" s="2" t="str">
        <x:v>旋入轨迹</x:v>
      </x:c>
      <x:c r="D53" s="17" t="n">
        <x:v>-0.022981333293569342</x:v>
      </x:c>
      <x:c r="E53" s="17" t="n">
        <x:v>-0.019283628290596176</x:v>
      </x:c>
      <x:c r="F53" s="17" t="n">
        <x:v>0.06</x:v>
      </x:c>
      <x:c r="G53" s="17" t="n">
        <x:v>-1.1491751348861752</x:v>
      </x:c>
      <x:c r="H53" s="17" t="n">
        <x:v>-0.9643106935218849</x:v>
      </x:c>
      <x:c r="I53" s="17" t="n">
        <x:v>-0.35897387193459374</x:v>
      </x:c>
      <x:c r="J53" s="17" t="n">
        <x:v>-0.5706216345676627</x:v>
      </x:c>
      <x:c r="K53" s="17" t="n">
        <x:v>0.36098975346457374</x:v>
      </x:c>
      <x:c r="L53" s="17" t="n">
        <x:v>0.590657216573954</x:v>
      </x:c>
      <x:c r="M53" s="17" t="n">
        <x:v>-0.14178652446201456</x:v>
      </x:c>
      <x:c r="N53" s="17" t="n">
        <x:v>336.0570186667068</x:v>
      </x:c>
      <x:c r="O53" s="17" t="n">
        <x:v>192.01071637170952</x:v>
      </x:c>
      <x:c r="P53" s="17" t="n">
        <x:v>-79.94000000000008</x:v>
      </x:c>
      <x:c r="Q53" s="17" t="n">
        <x:f>P53-$P$5</x:f>
        <x:v>0.05999999999991701</x:v>
      </x:c>
      <x:c r="R53" s="2" t="str">
        <x:v>平行工件XY</x:v>
      </x:c>
    </x:row>
    <x:row r="54" ht="24" customHeight="1">
      <x:c r="A54" s="24" t="n">
        <x:v>47</x:v>
      </x:c>
      <x:c r="B54" s="2" t="str">
        <x:v>H046</x:v>
      </x:c>
      <x:c r="C54" s="2" t="str">
        <x:v>旋入轨迹</x:v>
      </x:c>
      <x:c r="D54" s="17" t="n">
        <x:v>-0.02121320343559643</x:v>
      </x:c>
      <x:c r="E54" s="17" t="n">
        <x:v>-0.021213203435596423</x:v>
      </x:c>
      <x:c r="F54" s="17" t="n">
        <x:v>0.04999999999999999</x:v>
      </x:c>
      <x:c r="G54" s="17" t="n">
        <x:v>-1.0607813409199047</x:v>
      </x:c>
      <x:c r="H54" s="17" t="n">
        <x:v>-1.0607813409199045</x:v>
      </x:c>
      <x:c r="I54" s="17" t="n">
        <x:v>-0.39323371066104534</x:v>
      </x:c>
      <x:c r="J54" s="17" t="n">
        <x:v>-0.5250873527754614</x:v>
      </x:c>
      <x:c r="K54" s="17" t="n">
        <x:v>0.39683155989595315</x:v>
      </x:c>
      <x:c r="L54" s="17" t="n">
        <x:v>0.5440673803130185</x:v>
      </x:c>
      <x:c r="M54" s="17" t="n">
        <x:v>-0.11538779664016635</x:v>
      </x:c>
      <x:c r="N54" s="17" t="n">
        <x:v>336.0587867965646</x:v>
      </x:c>
      <x:c r="O54" s="17" t="n">
        <x:v>192.0087867965645</x:v>
      </x:c>
      <x:c r="P54" s="17" t="n">
        <x:v>-79.95000000000002</x:v>
      </x:c>
      <x:c r="Q54" s="17" t="n">
        <x:f>P54-$P$5</x:f>
        <x:v>0.04999999999998295</x:v>
      </x:c>
      <x:c r="R54" s="2" t="str">
        <x:v>平行工件XY</x:v>
      </x:c>
    </x:row>
    <x:row r="55" ht="24" customHeight="1">
      <x:c r="A55" s="24" t="n">
        <x:v>48</x:v>
      </x:c>
      <x:c r="B55" s="2" t="str">
        <x:v>H047</x:v>
      </x:c>
      <x:c r="C55" s="2" t="str">
        <x:v>旋入轨迹</x:v>
      </x:c>
      <x:c r="D55" s="17" t="n">
        <x:v>-0.019283628290596183</x:v>
      </x:c>
      <x:c r="E55" s="17" t="n">
        <x:v>-0.022981333293569335</x:v>
      </x:c>
      <x:c r="F55" s="17" t="n">
        <x:v>0.03999999999999998</x:v>
      </x:c>
      <x:c r="G55" s="17" t="n">
        <x:v>-0.9643106935218853</x:v>
      </x:c>
      <x:c r="H55" s="17" t="n">
        <x:v>-1.149175134886175</x:v>
      </x:c>
      <x:c r="I55" s="17" t="n">
        <x:v>-0.42452819586723667</x:v>
      </x:c>
      <x:c r="J55" s="17" t="n">
        <x:v>-0.47596807138063524</x:v>
      </x:c>
      <x:c r="K55" s="17" t="n">
        <x:v>0.42962077592090503</x:v>
      </x:c>
      <x:c r="L55" s="17" t="n">
        <x:v>0.49361387251443717</x:v>
      </x:c>
      <x:c r="M55" s="17" t="n">
        <x:v>-0.08895841432115102</x:v>
      </x:c>
      <x:c r="N55" s="17" t="n">
        <x:v>336.06071637170965</x:v>
      </x:c>
      <x:c r="O55" s="17" t="n">
        <x:v>192.00701866670653</x:v>
      </x:c>
      <x:c r="P55" s="17" t="n">
        <x:v>-79.96000000000006</x:v>
      </x:c>
      <x:c r="Q55" s="17" t="n">
        <x:f>P55-$P$5</x:f>
        <x:v>0.0399999999999352</x:v>
      </x:c>
      <x:c r="R55" s="2" t="str">
        <x:v>平行工件XY</x:v>
      </x:c>
    </x:row>
    <x:row r="56" ht="24" customHeight="1">
      <x:c r="A56" s="24" t="n">
        <x:v>49</x:v>
      </x:c>
      <x:c r="B56" s="2" t="str">
        <x:v>H048</x:v>
      </x:c>
      <x:c r="C56" s="2" t="str">
        <x:v>旋入轨迹</x:v>
      </x:c>
      <x:c r="D56" s="17" t="n">
        <x:v>-0.01720729309053139</x:v>
      </x:c>
      <x:c r="E56" s="17" t="n">
        <x:v>-0.024574561328669746</x:v>
      </x:c>
      <x:c r="F56" s="17" t="n">
        <x:v>0.030000000000000027</x:v>
      </x:c>
      <x:c r="G56" s="17" t="n">
        <x:v>-0.8604965676202314</x:v>
      </x:c>
      <x:c r="H56" s="17" t="n">
        <x:v>-1.2288204199843746</x:v>
      </x:c>
      <x:c r="I56" s="17" t="n">
        <x:v>-0.4526406994966212</x:v>
      </x:c>
      <x:c r="J56" s="17" t="n">
        <x:v>-0.4236274033646682</x:v>
      </x:c>
      <x:c r="K56" s="17" t="n">
        <x:v>0.4591126566588658</x:v>
      </x:c>
      <x:c r="L56" s="17" t="n">
        <x:v>0.43967689739911864</x:v>
      </x:c>
      <x:c r="M56" s="17" t="n">
        <x:v>-0.06249832405171156</x:v>
      </x:c>
      <x:c r="N56" s="17" t="n">
        <x:v>336.0627927069098</x:v>
      </x:c>
      <x:c r="O56" s="17" t="n">
        <x:v>192.0054254386714</x:v>
      </x:c>
      <x:c r="P56" s="17" t="n">
        <x:v>-79.97000000000006</x:v>
      </x:c>
      <x:c r="Q56" s="17" t="n">
        <x:f>P56-$P$5</x:f>
        <x:v>0.029999999999944293</x:v>
      </x:c>
      <x:c r="R56" s="2" t="str">
        <x:v>平行工件XY</x:v>
      </x:c>
    </x:row>
    <x:row r="57" ht="24" customHeight="1">
      <x:c r="A57" s="24" t="n">
        <x:v>50</x:v>
      </x:c>
      <x:c r="B57" s="2" t="str">
        <x:v>H049</x:v>
      </x:c>
      <x:c r="C57" s="2" t="str">
        <x:v>旋入轨迹</x:v>
      </x:c>
      <x:c r="D57" s="17" t="n">
        <x:v>-0.015000000000000013</x:v>
      </x:c>
      <x:c r="E57" s="17" t="n">
        <x:v>-0.025980762113533153</x:v>
      </x:c>
      <x:c r="F57" s="17" t="n">
        <x:v>0.020000000000000018</x:v>
      </x:c>
      <x:c r="G57" s="17" t="n">
        <x:v>-0.7501285324966628</x:v>
      </x:c>
      <x:c r="H57" s="17" t="n">
        <x:v>-1.2991122986898658</x:v>
      </x:c>
      <x:c r="I57" s="17" t="n">
        <x:v>-0.47737802469274276</x:v>
      </x:c>
      <x:c r="J57" s="17" t="n">
        <x:v>-0.36844286852457425</x:v>
      </x:c>
      <x:c r="K57" s="17" t="n">
        <x:v>0.48508782075287366</x:v>
      </x:c>
      <x:c r="L57" s="17" t="n">
        <x:v>0.38265634991142117</x:v>
      </x:c>
      <x:c r="M57" s="17" t="n">
        <x:v>-0.036007472260425694</x:v>
      </x:c>
      <x:c r="N57" s="17" t="n">
        <x:v>336.0650000000003</x:v>
      </x:c>
      <x:c r="O57" s="17" t="n">
        <x:v>192.0040192378865</x:v>
      </x:c>
      <x:c r="P57" s="17" t="n">
        <x:v>-79.98000000000008</x:v>
      </x:c>
      <x:c r="Q57" s="17" t="n">
        <x:f>P57-$P$5</x:f>
        <x:v>0.019999999999924967</x:v>
      </x:c>
      <x:c r="R57" s="2" t="str">
        <x:v>平行工件XY</x:v>
      </x:c>
    </x:row>
    <x:row r="58" ht="24" customHeight="1">
      <x:c r="A58" s="24" t="n">
        <x:v>51</x:v>
      </x:c>
      <x:c r="B58" s="2" t="str">
        <x:v>H050</x:v>
      </x:c>
      <x:c r="C58" s="2" t="str">
        <x:v>旋入轨迹</x:v>
      </x:c>
      <x:c r="D58" s="17" t="n">
        <x:v>-0.012678547852220974</x:v>
      </x:c>
      <x:c r="E58" s="17" t="n">
        <x:v>-0.0271892336110995</x:v>
      </x:c>
      <x:c r="F58" s="17" t="n">
        <x:v>0.010000000000000009</x:v>
      </x:c>
      <x:c r="G58" s="17" t="n">
        <x:v>-0.6340463781308266</x:v>
      </x:c>
      <x:c r="H58" s="17" t="n">
        <x:v>-1.359517149748237</x:v>
      </x:c>
      <x:c r="I58" s="17" t="n">
        <x:v>-0.49857135487528215</x:v>
      </x:c>
      <x:c r="J58" s="17" t="n">
        <x:v>-0.3108037744536151</x:v>
      </x:c>
      <x:c r="K58" s="17" t="n">
        <x:v>0.5073538067756501</x:v>
      </x:c>
      <x:c r="L58" s="17" t="n">
        <x:v>0.32296920757358943</x:v>
      </x:c>
      <x:c r="M58" s="17" t="n">
        <x:v>-0.009485805254871171</x:v>
      </x:c>
      <x:c r="N58" s="17" t="n">
        <x:v>336.06732145214806</x:v>
      </x:c>
      <x:c r="O58" s="17" t="n">
        <x:v>192.00281076638896</x:v>
      </x:c>
      <x:c r="P58" s="17" t="n">
        <x:v>-79.99000000000007</x:v>
      </x:c>
      <x:c r="Q58" s="17" t="n">
        <x:f>P58-$P$5</x:f>
        <x:v>0.009999999999934062</x:v>
      </x:c>
      <x:c r="R58" s="2" t="str">
        <x:v>平行工件XY</x:v>
      </x:c>
    </x:row>
    <x:row r="59" ht="24" customHeight="1">
      <x:c r="A59" s="24" t="n">
        <x:v>52</x:v>
      </x:c>
      <x:c r="B59" s="2" t="str">
        <x:v>H051</x:v>
      </x:c>
      <x:c r="C59" s="2" t="str">
        <x:v>旋入轨迹</x:v>
      </x:c>
      <x:c r="D59" s="17" t="n">
        <x:v>-0.010260604299770056</x:v>
      </x:c>
      <x:c r="E59" s="17" t="n">
        <x:v>-0.028190778623577252</x:v>
      </x:c>
      <x:c r="F59" s="17" t="n">
        <x:v>0</x:v>
      </x:c>
      <x:c r="G59" s="17" t="n">
        <x:v>-0.5131337360596699</x:v>
      </x:c>
      <x:c r="H59" s="17" t="n">
        <x:v>-1.4095765978985055</x:v>
      </x:c>
      <x:c r="I59" s="17" t="n">
        <x:v>-0.5160770625086231</x:v>
      </x:c>
      <x:c r="J59" s="17" t="n">
        <x:v>-0.25110923058701473</x:v>
      </x:c>
      <x:c r="K59" s="17" t="n">
        <x:v>0.5257464249741272</x:v>
      </x:c>
      <x:c r="L59" s="17" t="n">
        <x:v>0.2610469410142388</x:v>
      </x:c>
      <x:c r="M59" s="17" t="n">
        <x:v>0.017066730783922096</x:v>
      </x:c>
      <x:c r="N59" s="17" t="n">
        <x:v>336.0697393957005</x:v>
      </x:c>
      <x:c r="O59" s="17" t="n">
        <x:v>192.00180922137645</x:v>
      </x:c>
      <x:c r="P59" s="17" t="n">
        <x:v>-80.00000000000009</x:v>
      </x:c>
      <x:c r="Q59" s="17" t="n">
        <x:f>P59-$P$5</x:f>
        <x:v>-8.526512829121202e-14</x:v>
      </x:c>
      <x:c r="R59" s="2" t="str">
        <x:v>平行工件XY</x:v>
      </x:c>
    </x:row>
    <x:row r="60" ht="24" customHeight="1">
      <x:c r="A60" s="24" t="n">
        <x:v>53</x:v>
      </x:c>
      <x:c r="B60" s="2" t="str">
        <x:v>H052</x:v>
      </x:c>
      <x:c r="C60" s="2" t="str">
        <x:v>旋入轨迹</x:v>
      </x:c>
      <x:c r="D60" s="17" t="n">
        <x:v>-0.007764571353075619</x:v>
      </x:c>
      <x:c r="E60" s="17" t="n">
        <x:v>-0.02897777478867205</x:v>
      </x:c>
      <x:c r="F60" s="17" t="n">
        <x:v>-0.010000000000000009</x:v>
      </x:c>
      <x:c r="G60" s="17" t="n">
        <x:v>-0.38831134245708443</x:v>
      </x:c>
      <x:c r="H60" s="17" t="n">
        <x:v>-1.4489109109770033</x:v>
      </x:c>
      <x:c r="I60" s="17" t="n">
        <x:v>-0.5297773813432272</x:v>
      </x:c>
      <x:c r="J60" s="17" t="n">
        <x:v>-0.18976628151233688</x:v>
      </x:c>
      <x:c r="K60" s="17" t="n">
        <x:v>0.5401308985438992</x:v>
      </x:c>
      <x:c r="L60" s="17" t="n">
        <x:v>0.19733294501761006</x:v>
      </x:c>
      <x:c r="M60" s="17" t="n">
        <x:v>0.04365018980140658</x:v>
      </x:c>
      <x:c r="N60" s="17" t="n">
        <x:v>336.0722354286472</x:v>
      </x:c>
      <x:c r="O60" s="17" t="n">
        <x:v>192.00102222521136</x:v>
      </x:c>
      <x:c r="P60" s="17" t="n">
        <x:v>-80.01000000000005</x:v>
      </x:c>
      <x:c r="Q60" s="17" t="n">
        <x:f>P60-$P$5</x:f>
        <x:v>-0.010000000000047748</x:v>
      </x:c>
      <x:c r="R60" s="2" t="str">
        <x:v>平行工件XY</x:v>
      </x:c>
    </x:row>
    <x:row r="61" ht="24" customHeight="1">
      <x:c r="A61" s="24" t="n">
        <x:v>54</x:v>
      </x:c>
      <x:c r="B61" s="2" t="str">
        <x:v>H053</x:v>
      </x:c>
      <x:c r="C61" s="2" t="str">
        <x:v>旋入轨迹</x:v>
      </x:c>
      <x:c r="D61" s="17" t="n">
        <x:v>-0.00520944533000791</x:v>
      </x:c>
      <x:c r="E61" s="17" t="n">
        <x:v>-0.02954423259036624</x:v>
      </x:c>
      <x:c r="F61" s="17" t="n">
        <x:v>-0.020000000000000018</x:v>
      </x:c>
      <x:c r="G61" s="17" t="n">
        <x:v>-0.260529995508993</x:v>
      </x:c>
      <x:c r="H61" s="17" t="n">
        <x:v>-1.4772218047669123</x:v>
      </x:c>
      <x:c r="I61" s="17" t="n">
        <x:v>-0.539580945443949</x:v>
      </x:c>
      <x:c r="J61" s="17" t="n">
        <x:v>-0.12718814297005193</x:v>
      </x:c>
      <x:c r="K61" s="17" t="n">
        <x:v>0.5504027898742564</x:v>
      </x:c>
      <x:c r="L61" s="17" t="n">
        <x:v>0.13227998999364146</x:v>
      </x:c>
      <x:c r="M61" s="17" t="n">
        <x:v>0.0702646258744069</x:v>
      </x:c>
      <x:c r="N61" s="17" t="n">
        <x:v>336.0747905546703</x:v>
      </x:c>
      <x:c r="O61" s="17" t="n">
        <x:v>192.00045576740968</x:v>
      </x:c>
      <x:c r="P61" s="17" t="n">
        <x:v>-80.02000000000007</x:v>
      </x:c>
      <x:c r="Q61" s="17" t="n">
        <x:f>P61-$P$5</x:f>
        <x:v>-0.020000000000067075</x:v>
      </x:c>
      <x:c r="R61" s="2" t="str">
        <x:v>平行工件XY</x:v>
      </x:c>
    </x:row>
    <x:row r="62" ht="24" customHeight="1">
      <x:c r="A62" s="24" t="n">
        <x:v>55</x:v>
      </x:c>
      <x:c r="B62" s="2" t="str">
        <x:v>H054</x:v>
      </x:c>
      <x:c r="C62" s="2" t="str">
        <x:v>旋入轨迹</x:v>
      </x:c>
      <x:c r="D62" s="17" t="n">
        <x:v>-0.0026146722824297473</x:v>
      </x:c>
      <x:c r="E62" s="17" t="n">
        <x:v>-0.029885840942752366</x:v>
      </x:c>
      <x:c r="F62" s="17" t="n">
        <x:v>-0.030000000000000027</x:v>
      </x:c>
      <x:c r="G62" s="17" t="n">
        <x:v>-0.13076326307996386</x:v>
      </x:c>
      <x:c r="H62" s="17" t="n">
        <x:v>-1.4942946400349715</x:v>
      </x:c>
      <x:c r="I62" s="17" t="n">
        <x:v>-0.5454231977879709</x:v>
      </x:c>
      <x:c r="J62" s="17" t="n">
        <x:v>-0.0637925218563481</x:v>
      </x:c>
      <x:c r="K62" s="17" t="n">
        <x:v>0.5564887083218749</x:v>
      </x:c>
      <x:c r="L62" s="17" t="n">
        <x:v>0.06634769221611081</x:v>
      </x:c>
      <x:c r="M62" s="17" t="n">
        <x:v>0.0969100932123894</x:v>
      </x:c>
      <x:c r="N62" s="17" t="n">
        <x:v>336.0773853277179</x:v>
      </x:c>
      <x:c r="O62" s="17" t="n">
        <x:v>192.00011415905732</x:v>
      </x:c>
      <x:c r="P62" s="17" t="n">
        <x:v>-80.03000000000006</x:v>
      </x:c>
      <x:c r="Q62" s="17" t="n">
        <x:f>P62-$P$5</x:f>
        <x:v>-0.03000000000005798</x:v>
      </x:c>
      <x:c r="R62" s="2" t="str">
        <x:v>平行工件XY</x:v>
      </x:c>
    </x:row>
    <x:row r="63" ht="24" customHeight="1">
      <x:c r="A63" s="24" t="n">
        <x:v>56</x:v>
      </x:c>
      <x:c r="B63" s="2" t="str">
        <x:v>H055</x:v>
      </x:c>
      <x:c r="C63" s="2" t="str">
        <x:v>旋入轨迹</x:v>
      </x:c>
      <x:c r="D63" s="17" t="n">
        <x:v>-5.510910596163089e-18</x:v>
      </x:c>
      <x:c r="E63" s="17" t="n">
        <x:v>-0.03</x:v>
      </x:c>
      <x:c r="F63" s="17" t="n">
        <x:v>-0.040000000000000036</x:v>
      </x:c>
      <x:c r="G63" s="17" t="n">
        <x:v>-2.7560849904782835e-16</x:v>
      </x:c>
      <x:c r="H63" s="17" t="n">
        <x:v>-1.5</x:v>
      </x:c>
      <x:c r="I63" s="17" t="n">
        <x:v>-0.5472666706437811</x:v>
      </x:c>
      <x:c r="J63" s="17" t="n">
        <x:v>-3.8471154379700204e-15</x:v>
      </x:c>
      <x:c r="K63" s="17" t="n">
        <x:v>0.5583467970747727</x:v>
      </x:c>
      <x:c r="L63" s="17" t="n">
        <x:v>-8.746158763794551e-15</x:v>
      </x:c>
      <x:c r="M63" s="17" t="n">
        <x:v>0.12358664615784166</x:v>
      </x:c>
      <x:c r="N63" s="17" t="n">
        <x:v>336.0800000000002</x:v>
      </x:c>
      <x:c r="O63" s="17" t="n">
        <x:v>192.00000000000006</x:v>
      </x:c>
      <x:c r="P63" s="17" t="n">
        <x:v>-80.04000000000008</x:v>
      </x:c>
      <x:c r="Q63" s="17" t="n">
        <x:f>P63-$P$5</x:f>
        <x:v>-0.04000000000007731</x:v>
      </x:c>
      <x:c r="R63" s="2" t="str">
        <x:v>平行工件XY</x:v>
      </x:c>
    </x:row>
    <x:row r="64" ht="24" customHeight="1">
      <x:c r="A64" s="24" t="n">
        <x:v>57</x:v>
      </x:c>
      <x:c r="B64" s="2" t="str">
        <x:v>H056</x:v>
      </x:c>
      <x:c r="C64" s="2" t="str">
        <x:v>旋入轨迹</x:v>
      </x:c>
      <x:c r="D64" s="17" t="n">
        <x:v>0.0026146722824297365</x:v>
      </x:c>
      <x:c r="E64" s="17" t="n">
        <x:v>-0.029885840942752366</x:v>
      </x:c>
      <x:c r="F64" s="17" t="n">
        <x:v>-0.050000000000000044</x:v>
      </x:c>
      <x:c r="G64" s="17" t="n">
        <x:v>0.13076326307996336</x:v>
      </x:c>
      <x:c r="H64" s="17" t="n">
        <x:v>-1.4942946400349715</x:v>
      </x:c>
      <x:c r="I64" s="17" t="n">
        <x:v>-0.5451011393455354</x:v>
      </x:c>
      <x:c r="J64" s="17" t="n">
        <x:v>0.06376753957161611</x:v>
      </x:c>
      <x:c r="K64" s="17" t="n">
        <x:v>0.5559669975871521</x:v>
      </x:c>
      <x:c r="L64" s="17" t="n">
        <x:v>-0.06629730785430192</x:v>
      </x:c>
      <x:c r="M64" s="17" t="n">
        <x:v>0.1502943391900021</x:v>
      </x:c>
      <x:c r="N64" s="17" t="n">
        <x:v>336.08261467228283</x:v>
      </x:c>
      <x:c r="O64" s="17" t="n">
        <x:v>192.00011415905726</x:v>
      </x:c>
      <x:c r="P64" s="17" t="n">
        <x:v>-80.0500000000001</x:v>
      </x:c>
      <x:c r="Q64" s="17" t="n">
        <x:f>P64-$P$5</x:f>
        <x:v>-0.050000000000096634</x:v>
      </x:c>
      <x:c r="R64" s="2" t="str">
        <x:v>平行工件XY</x:v>
      </x:c>
    </x:row>
    <x:row r="65" ht="24" customHeight="1">
      <x:c r="A65" s="24" t="n">
        <x:v>58</x:v>
      </x:c>
      <x:c r="B65" s="2" t="str">
        <x:v>H057</x:v>
      </x:c>
      <x:c r="C65" s="2" t="str">
        <x:v>旋入轨迹</x:v>
      </x:c>
      <x:c r="D65" s="17" t="n">
        <x:v>0.005209445330007899</x:v>
      </x:c>
      <x:c r="E65" s="17" t="n">
        <x:v>-0.029544232590366242</x:v>
      </x:c>
      <x:c r="F65" s="17" t="n">
        <x:v>-0.06000000000000005</x:v>
      </x:c>
      <x:c r="G65" s="17" t="n">
        <x:v>0.2605299955089924</x:v>
      </x:c>
      <x:c r="H65" s="17" t="n">
        <x:v>-1.4772218047669126</x:v>
      </x:c>
      <x:c r="I65" s="17" t="n">
        <x:v>-0.5389436504692474</x:v>
      </x:c>
      <x:c r="J65" s="17" t="n">
        <x:v>0.1270884657954962</x:v>
      </x:c>
      <x:c r="K65" s="17" t="n">
        <x:v>0.5493710909167474</x:v>
      </x:c>
      <x:c r="L65" s="17" t="n">
        <x:v>-0.1320791155442695</x:v>
      </x:c>
      <x:c r="M65" s="17" t="n">
        <x:v>0.17703322691999887</x:v>
      </x:c>
      <x:c r="N65" s="17" t="n">
        <x:v>336.0852094453304</x:v>
      </x:c>
      <x:c r="O65" s="17" t="n">
        <x:v>192.00045576740968</x:v>
      </x:c>
      <x:c r="P65" s="17" t="n">
        <x:v>-80.06000000000009</x:v>
      </x:c>
      <x:c r="Q65" s="17" t="n">
        <x:f>P65-$P$5</x:f>
        <x:v>-0.06000000000008754</x:v>
      </x:c>
      <x:c r="R65" s="2" t="str">
        <x:v>平行工件XY</x:v>
      </x:c>
    </x:row>
    <x:row r="66" ht="24" customHeight="1">
      <x:c r="A66" s="24" t="n">
        <x:v>59</x:v>
      </x:c>
      <x:c r="B66" s="2" t="str">
        <x:v>H058</x:v>
      </x:c>
      <x:c r="C66" s="2" t="str">
        <x:v>旋入轨迹</x:v>
      </x:c>
      <x:c r="D66" s="17" t="n">
        <x:v>0.007764571353075608</x:v>
      </x:c>
      <x:c r="E66" s="17" t="n">
        <x:v>-0.028977774788672053</x:v>
      </x:c>
      <x:c r="F66" s="17" t="n">
        <x:v>-0.06999999999999995</x:v>
      </x:c>
      <x:c r="G66" s="17" t="n">
        <x:v>0.388311342457084</x:v>
      </x:c>
      <x:c r="H66" s="17" t="n">
        <x:v>-1.4489109109770035</x:v>
      </x:c>
      <x:c r="I66" s="17" t="n">
        <x:v>-0.5288384248030795</x:v>
      </x:c>
      <x:c r="J66" s="17" t="n">
        <x:v>0.18954295434073679</x:v>
      </x:c>
      <x:c r="K66" s="17" t="n">
        <x:v>0.5386125161130885</x:v>
      </x:c>
      <x:c r="L66" s="17" t="n">
        <x:v>-0.19688346010010727</x:v>
      </x:c>
      <x:c r="M66" s="17" t="n">
        <x:v>0.2038033640924482</x:v>
      </x:c>
      <x:c r="N66" s="17" t="n">
        <x:v>336.08776457135326</x:v>
      </x:c>
      <x:c r="O66" s="17" t="n">
        <x:v>192.0010222252114</x:v>
      </x:c>
      <x:c r="P66" s="17" t="n">
        <x:v>-80.07000000000008</x:v>
      </x:c>
      <x:c r="Q66" s="17" t="n">
        <x:f>P66-$P$5</x:f>
        <x:v>-0.07000000000007844</x:v>
      </x:c>
      <x:c r="R66" s="2" t="str">
        <x:v>平行工件XY</x:v>
      </x:c>
    </x:row>
    <x:row r="67" ht="24" customHeight="1">
      <x:c r="A67" s="24" t="n">
        <x:v>60</x:v>
      </x:c>
      <x:c r="B67" s="2" t="str">
        <x:v>H059</x:v>
      </x:c>
      <x:c r="C67" s="2" t="str">
        <x:v>旋入轨迹</x:v>
      </x:c>
      <x:c r="D67" s="17" t="n">
        <x:v>0.01026060429977007</x:v>
      </x:c>
      <x:c r="E67" s="17" t="n">
        <x:v>-0.02819077862357725</x:v>
      </x:c>
      <x:c r="F67" s="17" t="n">
        <x:v>-0.07999999999999996</x:v>
      </x:c>
      <x:c r="G67" s="17" t="n">
        <x:v>0.5131337360596706</x:v>
      </x:c>
      <x:c r="H67" s="17" t="n">
        <x:v>-1.4095765978985053</x:v>
      </x:c>
      <x:c r="I67" s="17" t="n">
        <x:v>-0.5148566348918119</x:v>
      </x:c>
      <x:c r="J67" s="17" t="n">
        <x:v>0.2507145660614627</x:v>
      </x:c>
      <x:c r="K67" s="17" t="n">
        <x:v>0.523775966610522</x:v>
      </x:c>
      <x:c r="L67" s="17" t="n">
        <x:v>-0.260254021936809</x:v>
      </x:c>
      <x:c r="M67" s="17" t="n">
        <x:v>0.2306048055805849</x:v>
      </x:c>
      <x:c r="N67" s="17" t="n">
        <x:v>336.0902606043001</x:v>
      </x:c>
      <x:c r="O67" s="17" t="n">
        <x:v>192.00180922137645</x:v>
      </x:c>
      <x:c r="P67" s="17" t="n">
        <x:v>-80.08000000000007</x:v>
      </x:c>
      <x:c r="Q67" s="17" t="n">
        <x:f>P67-$P$5</x:f>
        <x:v>-0.08000000000006935</x:v>
      </x:c>
      <x:c r="R67" s="2" t="str">
        <x:v>平行工件XY</x:v>
      </x:c>
    </x:row>
    <x:row r="68" ht="24" customHeight="1">
      <x:c r="A68" s="24" t="n">
        <x:v>61</x:v>
      </x:c>
      <x:c r="B68" s="2" t="str">
        <x:v>H060</x:v>
      </x:c>
      <x:c r="C68" s="2" t="str">
        <x:v>旋入轨迹</x:v>
      </x:c>
      <x:c r="D68" s="17" t="n">
        <x:v>0.012678547852220988</x:v>
      </x:c>
      <x:c r="E68" s="17" t="n">
        <x:v>-0.027189233611099494</x:v>
      </x:c>
      <x:c r="F68" s="17" t="n">
        <x:v>-0.08999999999999997</x:v>
      </x:c>
      <x:c r="G68" s="17" t="n">
        <x:v>0.6340463781308273</x:v>
      </x:c>
      <x:c r="H68" s="17" t="n">
        <x:v>-1.3595171497482366</x:v>
      </x:c>
      <x:c r="I68" s="17" t="n">
        <x:v>-0.4970960563283854</x:v>
      </x:c>
      <x:c r="J68" s="17" t="n">
        <x:v>0.31019187075940413</x:v>
      </x:c>
      <x:c r="K68" s="17" t="n">
        <x:v>0.5049767663994177</x:v>
      </x:c>
      <x:c r="L68" s="17" t="n">
        <x:v>-0.3217426201385989</x:v>
      </x:c>
      <x:c r="M68" s="17" t="n">
        <x:v>0.25743760638760194</x:v>
      </x:c>
      <x:c r="N68" s="17" t="n">
        <x:v>336.0926785478526</x:v>
      </x:c>
      <x:c r="O68" s="17" t="n">
        <x:v>192.00281076638893</x:v>
      </x:c>
      <x:c r="P68" s="17" t="n">
        <x:v>-80.09000000000006</x:v>
      </x:c>
      <x:c r="Q68" s="17" t="n">
        <x:f>P68-$P$5</x:f>
        <x:v>-0.09000000000006025</x:v>
      </x:c>
      <x:c r="R68" s="2" t="str">
        <x:v>平行工件XY</x:v>
      </x:c>
    </x:row>
    <x:row r="69" ht="24" customHeight="1">
      <x:c r="A69" s="24" t="n">
        <x:v>62</x:v>
      </x:c>
      <x:c r="B69" s="2" t="str">
        <x:v>H061</x:v>
      </x:c>
      <x:c r="C69" s="2" t="str">
        <x:v>旋入轨迹</x:v>
      </x:c>
      <x:c r="D69" s="17" t="n">
        <x:v>0.015000000000000003</x:v>
      </x:c>
      <x:c r="E69" s="17" t="n">
        <x:v>-0.025980762113533156</x:v>
      </x:c>
      <x:c r="F69" s="17" t="n">
        <x:v>-0.09999999999999998</x:v>
      </x:c>
      <x:c r="G69" s="17" t="n">
        <x:v>0.7501285324966623</x:v>
      </x:c>
      <x:c r="H69" s="17" t="n">
        <x:v>-1.299112298689866</x:v>
      </x:c>
      <x:c r="I69" s="17" t="n">
        <x:v>-0.4756805913709217</x:v>
      </x:c>
      <x:c r="J69" s="17" t="n">
        <x:v>0.3675701370477905</x:v>
      </x:c>
      <x:c r="K69" s="17" t="n">
        <x:v>0.48236002861261973</x:v>
      </x:c>
      <x:c r="L69" s="17" t="n">
        <x:v>-0.3809117158516587</x:v>
      </x:c>
      <x:c r="M69" s="17" t="n">
        <x:v>0.2843018216390648</x:v>
      </x:c>
      <x:c r="N69" s="17" t="n">
        <x:v>336.09500000000037</x:v>
      </x:c>
      <x:c r="O69" s="17" t="n">
        <x:v>192.00401923788655</x:v>
      </x:c>
      <x:c r="P69" s="17" t="n">
        <x:v>-80.10000000000008</x:v>
      </x:c>
      <x:c r="Q69" s="17" t="n">
        <x:f>P69-$P$5</x:f>
        <x:v>-0.10000000000007958</x:v>
      </x:c>
      <x:c r="R69" s="2" t="str">
        <x:v>平行工件XY</x:v>
      </x:c>
    </x:row>
    <x:row r="70" ht="24" customHeight="1">
      <x:c r="A70" s="24" t="n">
        <x:v>63</x:v>
      </x:c>
      <x:c r="B70" s="2" t="str">
        <x:v>H062</x:v>
      </x:c>
      <x:c r="C70" s="2" t="str">
        <x:v>旋入轨迹</x:v>
      </x:c>
      <x:c r="D70" s="17" t="n">
        <x:v>0.01720729309053138</x:v>
      </x:c>
      <x:c r="E70" s="17" t="n">
        <x:v>-0.024574561328669753</x:v>
      </x:c>
      <x:c r="F70" s="17" t="n">
        <x:v>-0.10999999999999999</x:v>
      </x:c>
      <x:c r="G70" s="17" t="n">
        <x:v>0.860496567620231</x:v>
      </x:c>
      <x:c r="H70" s="17" t="n">
        <x:v>-1.2288204199843749</x:v>
      </x:c>
      <x:c r="I70" s="17" t="n">
        <x:v>-0.4507596628881096</x:v>
      </x:c>
      <x:c r="J70" s="17" t="n">
        <x:v>0.4224531078443992</x:v>
      </x:c>
      <x:c r="K70" s="17" t="n">
        <x:v>0.45609960009349154</x:v>
      </x:c>
      <x:c r="L70" s="17" t="n">
        <x:v>-0.43733692620462233</x:v>
      </x:c>
      <x:c r="M70" s="17" t="n">
        <x:v>0.3111975065829706</x:v>
      </x:c>
      <x:c r="N70" s="17" t="n">
        <x:v>336.0972072930909</x:v>
      </x:c>
      <x:c r="O70" s="17" t="n">
        <x:v>192.0054254386714</x:v>
      </x:c>
      <x:c r="P70" s="17" t="n">
        <x:v>-80.11000000000007</x:v>
      </x:c>
      <x:c r="Q70" s="17" t="n">
        <x:f>P70-$P$5</x:f>
        <x:v>-0.11000000000007049</x:v>
      </x:c>
      <x:c r="R70" s="2" t="str">
        <x:v>平行工件XY</x:v>
      </x:c>
    </x:row>
    <x:row r="71" ht="24" customHeight="1">
      <x:c r="A71" s="24" t="n">
        <x:v>64</x:v>
      </x:c>
      <x:c r="B71" s="2" t="str">
        <x:v>H063</x:v>
      </x:c>
      <x:c r="C71" s="2" t="str">
        <x:v>旋入轨迹</x:v>
      </x:c>
      <x:c r="D71" s="17" t="n">
        <x:v>0.019283628290596176</x:v>
      </x:c>
      <x:c r="E71" s="17" t="n">
        <x:v>-0.022981333293569342</x:v>
      </x:c>
      <x:c r="F71" s="17" t="n">
        <x:v>-0.12</x:v>
      </x:c>
      <x:c r="G71" s="17" t="n">
        <x:v>0.9643106935218849</x:v>
      </x:c>
      <x:c r="H71" s="17" t="n">
        <x:v>-1.1491751348861752</x:v>
      </x:c>
      <x:c r="I71" s="17" t="n">
        <x:v>-0.42250747609526745</x:v>
      </x:c>
      <x:c r="J71" s="17" t="n">
        <x:v>0.47445487926417385</x:v>
      </x:c>
      <x:c r="K71" s="17" t="n">
        <x:v>0.4263967965329957</x:v>
      </x:c>
      <x:c r="L71" s="17" t="n">
        <x:v>-0.4906095498890771</x:v>
      </x:c>
      <x:c r="M71" s="17" t="n">
        <x:v>0.3381247165851535</x:v>
      </x:c>
      <x:c r="N71" s="17" t="n">
        <x:v>336.0992836282909</x:v>
      </x:c>
      <x:c r="O71" s="17" t="n">
        <x:v>192.00701866670647</x:v>
      </x:c>
      <x:c r="P71" s="17" t="n">
        <x:v>-80.12000000000009</x:v>
      </x:c>
      <x:c r="Q71" s="17" t="n">
        <x:f>P71-$P$5</x:f>
        <x:v>-0.12000000000008981</x:v>
      </x:c>
      <x:c r="R71" s="2" t="str">
        <x:v>平行工件XY</x:v>
      </x:c>
    </x:row>
    <x:row r="72" ht="24" customHeight="1">
      <x:c r="A72" s="24" t="n">
        <x:v>65</x:v>
      </x:c>
      <x:c r="B72" s="2" t="str">
        <x:v>H064</x:v>
      </x:c>
      <x:c r="C72" s="2" t="str">
        <x:v>旋入轨迹</x:v>
      </x:c>
      <x:c r="D72" s="17" t="n">
        <x:v>0.02121320343559642</x:v>
      </x:c>
      <x:c r="E72" s="17" t="n">
        <x:v>-0.02121320343559643</x:v>
      </x:c>
      <x:c r="F72" s="17" t="n">
        <x:v>-0.13</x:v>
      </x:c>
      <x:c r="G72" s="17" t="n">
        <x:v>1.0607813409199043</x:v>
      </x:c>
      <x:c r="H72" s="17" t="n">
        <x:v>-1.0607813409199047</x:v>
      </x:c>
      <x:c r="I72" s="17" t="n">
        <x:v>-0.3911221450511675</x:v>
      </x:c>
      <x:c r="J72" s="17" t="n">
        <x:v>0.523201898347221</x:v>
      </x:c>
      <x:c r="K72" s="17" t="n">
        <x:v>0.3934789338968262</x:v>
      </x:c>
      <x:c r="L72" s="17" t="n">
        <x:v>-0.5403391038809522</x:v>
      </x:c>
      <x:c r="M72" s="17" t="n">
        <x:v>0.36508350712963733</x:v>
      </x:c>
      <x:c r="N72" s="17" t="n">
        <x:v>336.1012132034358</x:v>
      </x:c>
      <x:c r="O72" s="17" t="n">
        <x:v>192.00878679656444</x:v>
      </x:c>
      <x:c r="P72" s="17" t="n">
        <x:v>-80.13000000000008</x:v>
      </x:c>
      <x:c r="Q72" s="17" t="n">
        <x:f>P72-$P$5</x:f>
        <x:v>-0.13000000000008072</x:v>
      </x:c>
      <x:c r="R72" s="2" t="str">
        <x:v>平行工件XY</x:v>
      </x:c>
    </x:row>
    <x:row r="73" ht="24" customHeight="1">
      <x:c r="A73" s="24" t="n">
        <x:v>66</x:v>
      </x:c>
      <x:c r="B73" s="2" t="str">
        <x:v>H065</x:v>
      </x:c>
      <x:c r="C73" s="2" t="str">
        <x:v>旋入轨迹</x:v>
      </x:c>
      <x:c r="D73" s="17" t="n">
        <x:v>0.02298133329356933</x:v>
      </x:c>
      <x:c r="E73" s="17" t="n">
        <x:v>-0.019283628290596187</x:v>
      </x:c>
      <x:c r="F73" s="17" t="n">
        <x:v>-0.14</x:v>
      </x:c>
      <x:c r="G73" s="17" t="n">
        <x:v>1.1491751348861747</x:v>
      </x:c>
      <x:c r="H73" s="17" t="n">
        <x:v>-0.9643106935218855</x:v>
      </x:c>
      <x:c r="I73" s="17" t="n">
        <x:v>-0.35682468047033344</x:v>
      </x:c>
      <x:c r="J73" s="17" t="n">
        <x:v>0.5683350920546201</x:v>
      </x:c>
      <x:c r="K73" s="17" t="n">
        <x:v>0.3575976631257628</x:v>
      </x:c>
      <x:c r="L73" s="17" t="n">
        <x:v>-0.5861558687462296</x:v>
      </x:c>
      <x:c r="M73" s="17" t="n">
        <x:v>0.39207393381820604</x:v>
      </x:c>
      <x:c r="N73" s="17" t="n">
        <x:v>336.10298133329394</x:v>
      </x:c>
      <x:c r="O73" s="17" t="n">
        <x:v>192.01071637170946</x:v>
      </x:c>
      <x:c r="P73" s="17" t="n">
        <x:v>-80.14000000000004</x:v>
      </x:c>
      <x:c r="Q73" s="17" t="n">
        <x:f>P73-$P$5</x:f>
        <x:v>-0.1400000000000432</x:v>
      </x:c>
      <x:c r="R73" s="2" t="str">
        <x:v>平行工件XY</x:v>
      </x:c>
    </x:row>
    <x:row r="74" ht="24" customHeight="1">
      <x:c r="A74" s="24" t="n">
        <x:v>67</x:v>
      </x:c>
      <x:c r="B74" s="2" t="str">
        <x:v>H066</x:v>
      </x:c>
      <x:c r="C74" s="2" t="str">
        <x:v>旋入轨迹</x:v>
      </x:c>
      <x:c r="D74" s="17" t="n">
        <x:v>0.024574561328669746</x:v>
      </x:c>
      <x:c r="E74" s="17" t="n">
        <x:v>-0.017207293090531393</x:v>
      </x:c>
      <x:c r="F74" s="17" t="n">
        <x:v>-0.15000000000000002</x:v>
      </x:c>
      <x:c r="G74" s="17" t="n">
        <x:v>1.2288204199843746</x:v>
      </x:c>
      <x:c r="H74" s="17" t="n">
        <x:v>-0.8604965676202315</x:v>
      </x:c>
      <x:c r="I74" s="17" t="n">
        <x:v>-0.3198578350963447</x:v>
      </x:c>
      <x:c r="J74" s="17" t="n">
        <x:v>0.6095121361956195</x:v>
      </x:c>
      <x:c r="K74" s="17" t="n">
        <x:v>0.3190271165016206</x:v>
      </x:c>
      <x:c r="L74" s="17" t="n">
        <x:v>-0.6277134375195278</x:v>
      </x:c>
      <x:c r="M74" s="17" t="n">
        <x:v>0.41909605236998004</x:v>
      </x:c>
      <x:c r="N74" s="17" t="n">
        <x:v>336.104574561329</x:v>
      </x:c>
      <x:c r="O74" s="17" t="n">
        <x:v>192.01279270690947</x:v>
      </x:c>
      <x:c r="P74" s="17" t="n">
        <x:v>-80.15000000000006</x:v>
      </x:c>
      <x:c r="Q74" s="17" t="n">
        <x:f>P74-$P$5</x:f>
        <x:v>-0.15000000000006253</x:v>
      </x:c>
      <x:c r="R74" s="2" t="str">
        <x:v>平行工件XY</x:v>
      </x:c>
    </x:row>
    <x:row r="75" ht="24" customHeight="1">
      <x:c r="A75" s="24" t="n">
        <x:v>68</x:v>
      </x:c>
      <x:c r="B75" s="2" t="str">
        <x:v>H067</x:v>
      </x:c>
      <x:c r="C75" s="2" t="str">
        <x:v>旋入轨迹</x:v>
      </x:c>
      <x:c r="D75" s="17" t="n">
        <x:v>0.02598076211353315</x:v>
      </x:c>
      <x:c r="E75" s="17" t="n">
        <x:v>-0.015000000000000013</x:v>
      </x:c>
      <x:c r="F75" s="17" t="n">
        <x:v>-0.16000000000000003</x:v>
      </x:c>
      <x:c r="G75" s="17" t="n">
        <x:v>1.2991122986898656</x:v>
      </x:c>
      <x:c r="H75" s="17" t="n">
        <x:v>-0.7501285324966628</x:v>
      </x:c>
      <x:c r="I75" s="17" t="n">
        <x:v>-0.2804848027165242</x:v>
      </x:c>
      <x:c r="J75" s="17" t="n">
        <x:v>0.646409868321321</x:v>
      </x:c>
      <x:c r="K75" s="17" t="n">
        <x:v>0.2780618756255649</x:v>
      </x:c>
      <x:c r="L75" s="17" t="n">
        <x:v>-0.6646912602531391</x:v>
      </x:c>
      <x:c r="M75" s="17" t="n">
        <x:v>0.44614991862249215</x:v>
      </x:c>
      <x:c r="N75" s="17" t="n">
        <x:v>336.10598076211386</x:v>
      </x:c>
      <x:c r="O75" s="17" t="n">
        <x:v>192.01500000000007</x:v>
      </x:c>
      <x:c r="P75" s="17" t="n">
        <x:v>-80.16000000000008</x:v>
      </x:c>
      <x:c r="Q75" s="17" t="n">
        <x:f>P75-$P$5</x:f>
        <x:v>-0.16000000000008185</x:v>
      </x:c>
      <x:c r="R75" s="2" t="str">
        <x:v>平行工件XY</x:v>
      </x:c>
    </x:row>
    <x:row r="76" ht="24" customHeight="1">
      <x:c r="A76" s="24" t="n">
        <x:v>69</x:v>
      </x:c>
      <x:c r="B76" s="2" t="str">
        <x:v>H068</x:v>
      </x:c>
      <x:c r="C76" s="2" t="str">
        <x:v>旋入轨迹</x:v>
      </x:c>
      <x:c r="D76" s="17" t="n">
        <x:v>0.0271892336110995</x:v>
      </x:c>
      <x:c r="E76" s="17" t="n">
        <x:v>-0.012678547852220976</x:v>
      </x:c>
      <x:c r="F76" s="17" t="n">
        <x:v>-0.17000000000000004</x:v>
      </x:c>
      <x:c r="G76" s="17" t="n">
        <x:v>1.359517149748237</x:v>
      </x:c>
      <x:c r="H76" s="17" t="n">
        <x:v>-0.6340463781308268</x:v>
      </x:c>
      <x:c r="I76" s="17" t="n">
        <x:v>-0.23898776692618692</x:v>
      </x:c>
      <x:c r="J76" s="17" t="n">
        <x:v>0.6787268430615729</x:v>
      </x:c>
      <x:c r="K76" s="17" t="n">
        <x:v>0.2350147726614651</x:v>
      </x:c>
      <x:c r="L76" s="17" t="n">
        <x:v>-0.6967971730061067</x:v>
      </x:c>
      <x:c r="M76" s="17" t="n">
        <x:v>0.4732355885383309</x:v>
      </x:c>
      <x:c r="N76" s="17" t="n">
        <x:v>336.1071892336114</x:v>
      </x:c>
      <x:c r="O76" s="17" t="n">
        <x:v>192.01732145214785</x:v>
      </x:c>
      <x:c r="P76" s="17" t="n">
        <x:v>-80.17000000000007</x:v>
      </x:c>
      <x:c r="Q76" s="17" t="n">
        <x:f>P76-$P$5</x:f>
        <x:v>-0.17000000000007276</x:v>
      </x:c>
      <x:c r="R76" s="2" t="str">
        <x:v>平行工件XY</x:v>
      </x:c>
    </x:row>
    <x:row r="77" ht="24" customHeight="1">
      <x:c r="A77" s="24" t="n">
        <x:v>70</x:v>
      </x:c>
      <x:c r="B77" s="2" t="str">
        <x:v>H069</x:v>
      </x:c>
      <x:c r="C77" s="2" t="str">
        <x:v>旋入轨迹</x:v>
      </x:c>
      <x:c r="D77" s="17" t="n">
        <x:v>0.028190778623577252</x:v>
      </x:c>
      <x:c r="E77" s="17" t="n">
        <x:v>-0.010260604299770057</x:v>
      </x:c>
      <x:c r="F77" s="17" t="n">
        <x:v>-0.18000000000000005</x:v>
      </x:c>
      <x:c r="G77" s="17" t="n">
        <x:v>1.4095765978985055</x:v>
      </x:c>
      <x:c r="H77" s="17" t="n">
        <x:v>-0.51313373605967</x:v>
      </x:c>
      <x:c r="I77" s="17" t="n">
        <x:v>-0.1956662960210599</x:v>
      </x:c>
      <x:c r="J77" s="17" t="n">
        <x:v>0.7061860218328707</x:v>
      </x:c>
      <x:c r="K77" s="17" t="n">
        <x:v>0.1902145383368063</x:v>
      </x:c>
      <x:c r="L77" s="17" t="n">
        <x:v>-0.7237698962734688</x:v>
      </x:c>
      <x:c r="M77" s="17" t="n">
        <x:v>0.5003531182066633</x:v>
      </x:c>
      <x:c r="N77" s="17" t="n">
        <x:v>336.10819077862396</x:v>
      </x:c>
      <x:c r="O77" s="17" t="n">
        <x:v>192.01973939570036</x:v>
      </x:c>
      <x:c r="P77" s="17" t="n">
        <x:v>-80.18000000000006</x:v>
      </x:c>
      <x:c r="Q77" s="17" t="n">
        <x:f>P77-$P$5</x:f>
        <x:v>-0.18000000000006366</x:v>
      </x:c>
      <x:c r="R77" s="2" t="str">
        <x:v>平行工件XY</x:v>
      </x:c>
    </x:row>
    <x:row r="78" ht="24" customHeight="1">
      <x:c r="A78" s="24" t="n">
        <x:v>71</x:v>
      </x:c>
      <x:c r="B78" s="2" t="str">
        <x:v>H070</x:v>
      </x:c>
      <x:c r="C78" s="2" t="str">
        <x:v>旋入轨迹</x:v>
      </x:c>
      <x:c r="D78" s="17" t="n">
        <x:v>0.02897777478867205</x:v>
      </x:c>
      <x:c r="E78" s="17" t="n">
        <x:v>-0.0077645713530756204</x:v>
      </x:c>
      <x:c r="F78" s="17" t="n">
        <x:v>-0.18999999999999995</x:v>
      </x:c>
      <x:c r="G78" s="17" t="n">
        <x:v>1.4489109109770033</x:v>
      </x:c>
      <x:c r="H78" s="17" t="n">
        <x:v>-0.38831134245708454</x:v>
      </x:c>
      <x:c r="I78" s="17" t="n">
        <x:v>-0.15083558096734787</x:v>
      </x:c>
      <x:c r="J78" s="17" t="n">
        <x:v>0.7285375813099246</x:v>
      </x:c>
      <x:c r="K78" s="17" t="n">
        <x:v>0.1440033121422703</x:v>
      </x:c>
      <x:c r="L78" s="17" t="n">
        <x:v>-0.7453814836948348</x:v>
      </x:c>
      <x:c r="M78" s="17" t="n">
        <x:v>0.5275025638517782</x:v>
      </x:c>
      <x:c r="N78" s="17" t="n">
        <x:v>336.10897777478897</x:v>
      </x:c>
      <x:c r="O78" s="17" t="n">
        <x:v>192.02223542864692</x:v>
      </x:c>
      <x:c r="P78" s="17" t="n">
        <x:v>-80.19000000000005</x:v>
      </x:c>
      <x:c r="Q78" s="17" t="n">
        <x:f>P78-$P$5</x:f>
        <x:v>-0.19000000000005457</x:v>
      </x:c>
      <x:c r="R78" s="2" t="str">
        <x:v>平行工件XY</x:v>
      </x:c>
    </x:row>
    <x:row r="79" ht="24" customHeight="1">
      <x:c r="A79" s="24" t="n">
        <x:v>72</x:v>
      </x:c>
      <x:c r="B79" s="2" t="str">
        <x:v>H071</x:v>
      </x:c>
      <x:c r="C79" s="2" t="str">
        <x:v>旋入轨迹</x:v>
      </x:c>
      <x:c r="D79" s="17" t="n">
        <x:v>0.02954423259036624</x:v>
      </x:c>
      <x:c r="E79" s="17" t="n">
        <x:v>-0.005209445330007912</x:v>
      </x:c>
      <x:c r="F79" s="17" t="n">
        <x:v>-0.19999999999999996</x:v>
      </x:c>
      <x:c r="G79" s="17" t="n">
        <x:v>1.4772218047669123</x:v>
      </x:c>
      <x:c r="H79" s="17" t="n">
        <x:v>-0.2605299955089931</x:v>
      </x:c>
      <x:c r="I79" s="17" t="n">
        <x:v>-0.10482451432994332</x:v>
      </x:c>
      <x:c r="J79" s="17" t="n">
        <x:v>0.7455618165700776</x:v>
      </x:c>
      <x:c r="K79" s="17" t="n">
        <x:v>0.09673403219358612</x:v>
      </x:c>
      <x:c r="L79" s="17" t="n">
        <x:v>-0.7614396973838499</x:v>
      </x:c>
      <x:c r="M79" s="17" t="n">
        <x:v>0.5546839818360305</x:v>
      </x:c>
      <x:c r="N79" s="17" t="n">
        <x:v>336.1095442325906</x:v>
      </x:c>
      <x:c r="O79" s="17" t="n">
        <x:v>192.02479055467003</x:v>
      </x:c>
      <x:c r="P79" s="17" t="n">
        <x:v>-80.20000000000007</x:v>
      </x:c>
      <x:c r="Q79" s="17" t="n">
        <x:f>P79-$P$5</x:f>
        <x:v>-0.2000000000000739</x:v>
      </x:c>
      <x:c r="R79" s="2" t="str">
        <x:v>平行工件XY</x:v>
      </x:c>
    </x:row>
    <x:row r="80" ht="24" customHeight="1">
      <x:c r="A80" s="24" t="n">
        <x:v>73</x:v>
      </x:c>
      <x:c r="B80" s="2" t="str">
        <x:v>H072</x:v>
      </x:c>
      <x:c r="C80" s="2" t="str">
        <x:v>旋入轨迹</x:v>
      </x:c>
      <x:c r="D80" s="17" t="n">
        <x:v>0.029885840942752366</x:v>
      </x:c>
      <x:c r="E80" s="17" t="n">
        <x:v>-0.0026146722824297495</x:v>
      </x:c>
      <x:c r="F80" s="17" t="n">
        <x:v>-0.20999999999999996</x:v>
      </x:c>
      <x:c r="G80" s="17" t="n">
        <x:v>1.4942946400349715</x:v>
      </x:c>
      <x:c r="H80" s="17" t="n">
        <x:v>-0.130763263079964</x:v>
      </x:c>
      <x:c r="I80" s="17" t="n">
        <x:v>-0.05797360938660718</x:v>
      </x:c>
      <x:c r="J80" s="17" t="n">
        <x:v>0.7570721055042251</x:v>
      </x:c>
      <x:c r="K80" s="17" t="n">
        <x:v>0.048767724255057585</x:v>
      </x:c>
      <x:c r="L80" s="17" t="n">
        <x:v>-0.7717902814778058</x:v>
      </x:c>
      <x:c r="M80" s="17" t="n">
        <x:v>0.5818974286667805</x:v>
      </x:c>
      <x:c r="N80" s="17" t="n">
        <x:v>336.10988584094315</x:v>
      </x:c>
      <x:c r="O80" s="17" t="n">
        <x:v>192.02738532771764</x:v>
      </x:c>
      <x:c r="P80" s="17" t="n">
        <x:v>-80.21000000000006</x:v>
      </x:c>
      <x:c r="Q80" s="17" t="n">
        <x:f>P80-$P$5</x:f>
        <x:v>-0.2100000000000648</x:v>
      </x:c>
      <x:c r="R80" s="2" t="str">
        <x:v>平行工件XY</x:v>
      </x:c>
    </x:row>
    <x:row r="81" ht="24" customHeight="1">
      <x:c r="A81" s="24" t="n">
        <x:v>74</x:v>
      </x:c>
      <x:c r="B81" s="2" t="str">
        <x:v>H073</x:v>
      </x:c>
      <x:c r="C81" s="2" t="str">
        <x:v>旋入轨迹</x:v>
      </x:c>
      <x:c r="D81" s="17" t="n">
        <x:v>0.03</x:v>
      </x:c>
      <x:c r="E81" s="17" t="n">
        <x:v>-7.347880794884118e-18</x:v>
      </x:c>
      <x:c r="F81" s="17" t="n">
        <x:v>-0.21999999999999997</x:v>
      </x:c>
      <x:c r="G81" s="17" t="n">
        <x:v>1.5</x:v>
      </x:c>
      <x:c r="H81" s="17" t="n">
        <x:v>-3.6747799873043785e-16</x:v>
      </x:c>
      <x:c r="I81" s="17" t="n">
        <x:v>-0.01063276047321989</x:v>
      </x:c>
      <x:c r="J81" s="17" t="n">
        <x:v>0.7629178911532506</x:v>
      </x:c>
      <x:c r="K81" s="17" t="n">
        <x:v>0.0004707114091640303</x:v>
      </x:c>
      <x:c r="L81" s="17" t="n">
        <x:v>-0.7763191006824726</x:v>
      </x:c>
      <x:c r="M81" s="17" t="n">
        <x:v>0.609142961004532</x:v>
      </x:c>
      <x:c r="N81" s="17" t="n">
        <x:v>336.1100000000001</x:v>
      </x:c>
      <x:c r="O81" s="17" t="n">
        <x:v>192.03000000000003</x:v>
      </x:c>
      <x:c r="P81" s="17" t="n">
        <x:v>-80.22000000000006</x:v>
      </x:c>
      <x:c r="Q81" s="17" t="n">
        <x:f>P81-$P$5</x:f>
        <x:v>-0.2200000000000557</x:v>
      </x:c>
      <x:c r="R81" s="2" t="str">
        <x:v>平行工件XY</x:v>
      </x:c>
    </x:row>
    <x:row r="82" ht="24" customHeight="1">
      <x:c r="A82" s="24" t="n">
        <x:v>75</x:v>
      </x:c>
      <x:c r="B82" s="2" t="str">
        <x:v>H074</x:v>
      </x:c>
      <x:c r="C82" s="2" t="str">
        <x:v>旋入轨迹</x:v>
      </x:c>
      <x:c r="D82" s="17" t="n">
        <x:v>0.029885840942752366</x:v>
      </x:c>
      <x:c r="E82" s="17" t="n">
        <x:v>0.0026146722824297347</x:v>
      </x:c>
      <x:c r="F82" s="17" t="n">
        <x:v>-0.22999999999999998</x:v>
      </x:c>
      <x:c r="G82" s="17" t="n">
        <x:v>1.4942946400349715</x:v>
      </x:c>
      <x:c r="H82" s="17" t="n">
        <x:v>0.13076326307996325</x:v>
      </x:c>
      <x:c r="I82" s="17" t="n">
        <x:v>0.036841152068580095</x:v>
      </x:c>
      <x:c r="J82" s="17" t="n">
        <x:v>0.7629876283585337</x:v>
      </x:c>
      <x:c r="K82" s="17" t="n">
        <x:v>-0.04778823229388838</x:v>
      </x:c>
      <x:c r="L82" s="17" t="n">
        <x:v>-0.7749541058418347</x:v>
      </x:c>
      <x:c r="M82" s="17" t="n">
        <x:v>0.6364206356615002</x:v>
      </x:c>
      <x:c r="N82" s="17" t="n">
        <x:v>336.10988584094315</x:v>
      </x:c>
      <x:c r="O82" s="17" t="n">
        <x:v>192.03261467228248</x:v>
      </x:c>
      <x:c r="P82" s="17" t="n">
        <x:v>-80.23000000000008</x:v>
      </x:c>
      <x:c r="Q82" s="17" t="n">
        <x:f>P82-$P$5</x:f>
        <x:v>-0.23000000000007503</x:v>
      </x:c>
      <x:c r="R82" s="2" t="str">
        <x:v>平行工件XY</x:v>
      </x:c>
    </x:row>
    <x:row r="83" ht="24" customHeight="1">
      <x:c r="A83" s="24" t="n">
        <x:v>76</x:v>
      </x:c>
      <x:c r="B83" s="2" t="str">
        <x:v>H075</x:v>
      </x:c>
      <x:c r="C83" s="2" t="str">
        <x:v>旋入轨迹</x:v>
      </x:c>
      <x:c r="D83" s="17" t="n">
        <x:v>0.029544232590366242</x:v>
      </x:c>
      <x:c r="E83" s="17" t="n">
        <x:v>0.005209445330007897</x:v>
      </x:c>
      <x:c r="F83" s="17" t="n">
        <x:v>-0.24</x:v>
      </x:c>
      <x:c r="G83" s="17" t="n">
        <x:v>1.4772218047669126</x:v>
      </x:c>
      <x:c r="H83" s="17" t="n">
        <x:v>0.26052999550899236</x:v>
      </x:c>
      <x:c r="I83" s="17" t="n">
        <x:v>0.08408680611067267</x:v>
      </x:c>
      <x:c r="J83" s="17" t="n">
        <x:v>0.7572116309193848</x:v>
      </x:c>
      <x:c r="K83" s="17" t="n">
        <x:v>-0.09564075925718157</x:v>
      </x:c>
      <x:c r="L83" s="17" t="n">
        <x:v>-0.7676670841415603</x:v>
      </x:c>
      <x:c r="M83" s="17" t="n">
        <x:v>0.6637305096115171</x:v>
      </x:c>
      <x:c r="N83" s="17" t="n">
        <x:v>336.1095442325906</x:v>
      </x:c>
      <x:c r="O83" s="17" t="n">
        <x:v>192.03520944533008</x:v>
      </x:c>
      <x:c r="P83" s="17" t="n">
        <x:v>-80.24000000000007</x:v>
      </x:c>
      <x:c r="Q83" s="17" t="n">
        <x:f>P83-$P$5</x:f>
        <x:v>-0.24000000000006594</x:v>
      </x:c>
      <x:c r="R83" s="2" t="str">
        <x:v>平行工件XY</x:v>
      </x:c>
    </x:row>
    <x:row r="84" ht="24" customHeight="1">
      <x:c r="A84" s="24" t="n">
        <x:v>77</x:v>
      </x:c>
      <x:c r="B84" s="2" t="str">
        <x:v>H076</x:v>
      </x:c>
      <x:c r="C84" s="2" t="str">
        <x:v>旋入轨迹</x:v>
      </x:c>
      <x:c r="D84" s="17" t="n">
        <x:v>0.028977774788672053</x:v>
      </x:c>
      <x:c r="E84" s="17" t="n">
        <x:v>0.007764571353075607</x:v>
      </x:c>
      <x:c r="F84" s="17" t="n">
        <x:v>-0.25</x:v>
      </x:c>
      <x:c r="G84" s="17" t="n">
        <x:v>1.4489109109770035</x:v>
      </x:c>
      <x:c r="H84" s="17" t="n">
        <x:v>0.38831134245708393</x:v>
      </x:c>
      <x:c r="I84" s="17" t="n">
        <x:v>0.13074112150004416</x:v>
      </x:c>
      <x:c r="J84" s="17" t="n">
        <x:v>0.7455647458268653</x:v>
      </x:c>
      <x:c r="K84" s="17" t="n">
        <x:v>-0.14272183058923676</x:v>
      </x:c>
      <x:c r="L84" s="17" t="n">
        <x:v>-0.7544751477289425</x:v>
      </x:c>
      <x:c r="M84" s="17" t="n">
        <x:v>0.6910726399822603</x:v>
      </x:c>
      <x:c r="N84" s="17" t="n">
        <x:v>336.108977774789</x:v>
      </x:c>
      <x:c r="O84" s="17" t="n">
        <x:v>192.03776457135308</x:v>
      </x:c>
      <x:c r="P84" s="17" t="n">
        <x:v>-80.25000000000003</x:v>
      </x:c>
      <x:c r="Q84" s="17" t="n">
        <x:f>P84-$P$5</x:f>
        <x:v>-0.2500000000000284</x:v>
      </x:c>
      <x:c r="R84" s="2" t="str">
        <x:v>平行工件XY</x:v>
      </x:c>
    </x:row>
    <x:row r="85" ht="24" customHeight="1">
      <x:c r="A85" s="24" t="n">
        <x:v>78</x:v>
      </x:c>
      <x:c r="B85" s="2" t="str">
        <x:v>H077</x:v>
      </x:c>
      <x:c r="C85" s="2" t="str">
        <x:v>旋入轨迹</x:v>
      </x:c>
      <x:c r="D85" s="17" t="n">
        <x:v>0.02819077862357725</x:v>
      </x:c>
      <x:c r="E85" s="17" t="n">
        <x:v>0.010260604299770068</x:v>
      </x:c>
      <x:c r="F85" s="17" t="n">
        <x:v>-0.26</x:v>
      </x:c>
      <x:c r="G85" s="17" t="n">
        <x:v>1.4095765978985053</x:v>
      </x:c>
      <x:c r="H85" s="17" t="n">
        <x:v>0.5131337360596706</x:v>
      </x:c>
      <x:c r="I85" s="17" t="n">
        <x:v>0.17644206984279556</x:v>
      </x:c>
      <x:c r="J85" s="17" t="n">
        <x:v>0.7280687726895958</x:v>
      </x:c>
      <x:c r="K85" s="17" t="n">
        <x:v>-0.18867257609281182</x:v>
      </x:c>
      <x:c r="L85" s="17" t="n">
        <x:v>-0.7354419116091366</x:v>
      </x:c>
      <x:c r="M85" s="17" t="n">
        <x:v>0.718447084061637</x:v>
      </x:c>
      <x:c r="N85" s="17" t="n">
        <x:v>336.1081907786238</x:v>
      </x:c>
      <x:c r="O85" s="17" t="n">
        <x:v>192.04026060429985</x:v>
      </x:c>
      <x:c r="P85" s="17" t="n">
        <x:v>-80.26000000000008</x:v>
      </x:c>
      <x:c r="Q85" s="17" t="n">
        <x:f>P85-$P$5</x:f>
        <x:v>-0.26000000000007617</x:v>
      </x:c>
      <x:c r="R85" s="2" t="str">
        <x:v>平行工件XY</x:v>
      </x:c>
    </x:row>
    <x:row r="86" ht="24" customHeight="1">
      <x:c r="A86" s="24" t="n">
        <x:v>79</x:v>
      </x:c>
      <x:c r="B86" s="2" t="str">
        <x:v>H078</x:v>
      </x:c>
      <x:c r="C86" s="2" t="str">
        <x:v>旋入轨迹</x:v>
      </x:c>
      <x:c r="D86" s="17" t="n">
        <x:v>0.027189233611099498</x:v>
      </x:c>
      <x:c r="E86" s="17" t="n">
        <x:v>0.012678547852220987</x:v>
      </x:c>
      <x:c r="F86" s="17" t="n">
        <x:v>-0.27</x:v>
      </x:c>
      <x:c r="G86" s="17" t="n">
        <x:v>1.3595171497482368</x:v>
      </x:c>
      <x:c r="H86" s="17" t="n">
        <x:v>0.6340463781308273</x:v>
      </x:c>
      <x:c r="I86" s="17" t="n">
        <x:v>0.22083159245558073</x:v>
      </x:c>
      <x:c r="J86" s="17" t="n">
        <x:v>0.7047945398460304</x:v>
      </x:c>
      <x:c r="K86" s="17" t="n">
        <x:v>-0.23314310455908124</x:v>
      </x:c>
      <x:c r="L86" s="17" t="n">
        <x:v>-0.7106783099856094</x:v>
      </x:c>
      <x:c r="M86" s="17" t="n">
        <x:v>0.7458538992875572</x:v>
      </x:c>
      <x:c r="N86" s="17" t="n">
        <x:v>336.1071892336115</x:v>
      </x:c>
      <x:c r="O86" s="17" t="n">
        <x:v>192.0426785478523</x:v>
      </x:c>
      <x:c r="P86" s="17" t="n">
        <x:v>-80.27000000000007</x:v>
      </x:c>
      <x:c r="Q86" s="17" t="n">
        <x:f>P86-$P$5</x:f>
        <x:v>-0.2700000000000671</x:v>
      </x:c>
      <x:c r="R86" s="2" t="str">
        <x:v>平行工件XY</x:v>
      </x:c>
    </x:row>
    <x:row r="87" ht="24" customHeight="1">
      <x:c r="A87" s="24" t="n">
        <x:v>80</x:v>
      </x:c>
      <x:c r="B87" s="2" t="str">
        <x:v>H079</x:v>
      </x:c>
      <x:c r="C87" s="2" t="str">
        <x:v>旋入轨迹</x:v>
      </x:c>
      <x:c r="D87" s="17" t="n">
        <x:v>0.025980762113533156</x:v>
      </x:c>
      <x:c r="E87" s="17" t="n">
        <x:v>0.015</x:v>
      </x:c>
      <x:c r="F87" s="17" t="n">
        <x:v>-0.28</x:v>
      </x:c>
      <x:c r="G87" s="17" t="n">
        <x:v>1.299112298689866</x:v>
      </x:c>
      <x:c r="H87" s="17" t="n">
        <x:v>0.7501285324966621</x:v>
      </x:c>
      <x:c r="I87" s="17" t="n">
        <x:v>0.2635586039633503</x:v>
      </x:c>
      <x:c r="J87" s="17" t="n">
        <x:v>0.6758635445834198</x:v>
      </x:c>
      <x:c r="K87" s="17" t="n">
        <x:v>-0.2757952371950407</x:v>
      </x:c>
      <x:c r="L87" s="17" t="n">
        <x:v>-0.680343000101814</x:v>
      </x:c>
      <x:c r="M87" s="17" t="n">
        <x:v>0.7732931432456602</x:v>
      </x:c>
      <x:c r="N87" s="17" t="n">
        <x:v>336.1059807621138</x:v>
      </x:c>
      <x:c r="O87" s="17" t="n">
        <x:v>192.04500000000002</x:v>
      </x:c>
      <x:c r="P87" s="17" t="n">
        <x:v>-80.28000000000006</x:v>
      </x:c>
      <x:c r="Q87" s="17" t="n">
        <x:f>P87-$P$5</x:f>
        <x:v>-0.280000000000058</x:v>
      </x:c>
      <x:c r="R87" s="2" t="str">
        <x:v>平行工件XY</x:v>
      </x:c>
    </x:row>
    <x:row r="88" ht="24" customHeight="1">
      <x:c r="A88" s="24" t="n">
        <x:v>81</x:v>
      </x:c>
      <x:c r="B88" s="2" t="str">
        <x:v>H080</x:v>
      </x:c>
      <x:c r="C88" s="2" t="str">
        <x:v>旋入轨迹</x:v>
      </x:c>
      <x:c r="D88" s="17" t="n">
        <x:v>0.024574561328669753</x:v>
      </x:c>
      <x:c r="E88" s="17" t="n">
        <x:v>0.01720729309053138</x:v>
      </x:c>
      <x:c r="F88" s="17" t="n">
        <x:v>-0.29000000000000004</x:v>
      </x:c>
      <x:c r="G88" s="17" t="n">
        <x:v>1.2288204199843749</x:v>
      </x:c>
      <x:c r="H88" s="17" t="n">
        <x:v>0.860496567620231</x:v>
      </x:c>
      <x:c r="I88" s="17" t="n">
        <x:v>0.30428205416994863</x:v>
      </x:c>
      <x:c r="J88" s="17" t="n">
        <x:v>0.6414490640465335</x:v>
      </x:c>
      <x:c r="K88" s="17" t="n">
        <x:v>-0.3163051379085409</x:v>
      </x:c>
      <x:c r="L88" s="17" t="n">
        <x:v>-0.6446423044155905</x:v>
      </x:c>
      <x:c r="M88" s="17" t="n">
        <x:v>0.8007648736610993</x:v>
      </x:c>
      <x:c r="N88" s="17" t="n">
        <x:v>336.10457456132906</x:v>
      </x:c>
      <x:c r="O88" s="17" t="n">
        <x:v>192.0472072930906</x:v>
      </x:c>
      <x:c r="P88" s="17" t="n">
        <x:v>-80.29000000000008</x:v>
      </x:c>
      <x:c r="Q88" s="17" t="n">
        <x:f>P88-$P$5</x:f>
        <x:v>-0.2900000000000773</x:v>
      </x:c>
      <x:c r="R88" s="2" t="str">
        <x:v>平行工件XY</x:v>
      </x:c>
    </x:row>
    <x:row r="89" ht="24" customHeight="1">
      <x:c r="A89" s="24" t="n">
        <x:v>82</x:v>
      </x:c>
      <x:c r="B89" s="2" t="str">
        <x:v>H081</x:v>
      </x:c>
      <x:c r="C89" s="2" t="str">
        <x:v>旋入轨迹</x:v>
      </x:c>
      <x:c r="D89" s="17" t="n">
        <x:v>0.022981333293569342</x:v>
      </x:c>
      <x:c r="E89" s="17" t="n">
        <x:v>0.019283628290596173</x:v>
      </x:c>
      <x:c r="F89" s="17" t="n">
        <x:v>-0.30000000000000004</x:v>
      </x:c>
      <x:c r="G89" s="17" t="n">
        <x:v>1.1491751348861752</x:v>
      </x:c>
      <x:c r="H89" s="17" t="n">
        <x:v>0.9643106935218847</x:v>
      </x:c>
      <x:c r="I89" s="17" t="n">
        <x:v>0.3426740159797485</x:v>
      </x:c>
      <x:c r="J89" s="17" t="n">
        <x:v>0.6017766464643651</x:v>
      </x:c>
      <x:c r="K89" s="17" t="n">
        <x:v>-0.35436581571912756</x:v>
      </x:c>
      <x:c r="L89" s="17" t="n">
        <x:v>-0.6038296458835639</x:v>
      </x:c>
      <x:c r="M89" s="17" t="n">
        <x:v>0.8282691483879789</x:v>
      </x:c>
      <x:c r="N89" s="17" t="n">
        <x:v>336.10298133329394</x:v>
      </x:c>
      <x:c r="O89" s="17" t="n">
        <x:v>192.04928362829065</x:v>
      </x:c>
      <x:c r="P89" s="17" t="n">
        <x:v>-80.30000000000007</x:v>
      </x:c>
      <x:c r="Q89" s="17" t="n">
        <x:f>P89-$P$5</x:f>
        <x:v>-0.3000000000000682</x:v>
      </x:c>
      <x:c r="R89" s="2" t="str">
        <x:v>平行工件XY</x:v>
      </x:c>
    </x:row>
    <x:row r="90" ht="24" customHeight="1">
      <x:c r="A90" s="24" t="n">
        <x:v>83</x:v>
      </x:c>
      <x:c r="B90" s="2" t="str">
        <x:v>H082</x:v>
      </x:c>
      <x:c r="C90" s="2" t="str">
        <x:v>旋入轨迹</x:v>
      </x:c>
      <x:c r="D90" s="17" t="n">
        <x:v>0.02121320343559643</x:v>
      </x:c>
      <x:c r="E90" s="17" t="n">
        <x:v>0.02121320343559642</x:v>
      </x:c>
      <x:c r="F90" s="17" t="n">
        <x:v>-0.31000000000000005</x:v>
      </x:c>
      <x:c r="G90" s="17" t="n">
        <x:v>1.0607813409199047</x:v>
      </x:c>
      <x:c r="H90" s="17" t="n">
        <x:v>1.0607813409199043</x:v>
      </x:c>
      <x:c r="I90" s="17" t="n">
        <x:v>0.3784227625294635</x:v>
      </x:c>
      <x:c r="J90" s="17" t="n">
        <x:v>0.5571238997508298</x:v>
      </x:c>
      <x:c r="K90" s="17" t="n">
        <x:v>-0.38968947671583754</x:v>
      </x:c>
      <x:c r="L90" s="17" t="n">
        <x:v>-0.5582044374395682</x:v>
      </x:c>
      <x:c r="M90" s="17" t="n">
        <x:v>0.8558060254033786</x:v>
      </x:c>
      <x:c r="N90" s="17" t="n">
        <x:v>336.101213203436</x:v>
      </x:c>
      <x:c r="O90" s="17" t="n">
        <x:v>192.05121320343562</x:v>
      </x:c>
      <x:c r="P90" s="17" t="n">
        <x:v>-80.31000000000009</x:v>
      </x:c>
      <x:c r="Q90" s="17" t="n">
        <x:f>P90-$P$5</x:f>
        <x:v>-0.31000000000008754</x:v>
      </x:c>
      <x:c r="R90" s="2" t="str">
        <x:v>平行工件XY</x:v>
      </x:c>
    </x:row>
    <x:row r="91" ht="24" customHeight="1">
      <x:c r="A91" s="24" t="n">
        <x:v>84</x:v>
      </x:c>
      <x:c r="B91" s="2" t="str">
        <x:v>H083</x:v>
      </x:c>
      <x:c r="C91" s="2" t="str">
        <x:v>旋入轨迹</x:v>
      </x:c>
      <x:c r="D91" s="17" t="n">
        <x:v>0.019283628290596187</x:v>
      </x:c>
      <x:c r="E91" s="17" t="n">
        <x:v>0.02298133329356933</x:v>
      </x:c>
      <x:c r="F91" s="17" t="n">
        <x:v>-0.31999999999999995</x:v>
      </x:c>
      <x:c r="G91" s="17" t="n">
        <x:v>0.9643106935218855</x:v>
      </x:c>
      <x:c r="H91" s="17" t="n">
        <x:v>1.1491751348861747</x:v>
      </x:c>
      <x:c r="I91" s="17" t="n">
        <x:v>0.4112357925484809</x:v>
      </x:c>
      <x:c r="J91" s="17" t="n">
        <x:v>0.5078195066575013</x:v>
      </x:c>
      <x:c r="K91" s="17" t="n">
        <x:v>-0.4220097056621515</x:v>
      </x:c>
      <x:c r="L91" s="17" t="n">
        <x:v>-0.508110395506476</x:v>
      </x:c>
      <x:c r="M91" s="17" t="n">
        <x:v>0.8833755627983846</x:v>
      </x:c>
      <x:c r="N91" s="17" t="n">
        <x:v>336.0992836282909</x:v>
      </x:c>
      <x:c r="O91" s="17" t="n">
        <x:v>192.05298133329364</x:v>
      </x:c>
      <x:c r="P91" s="17" t="n">
        <x:v>-80.32000000000008</x:v>
      </x:c>
      <x:c r="Q91" s="17" t="n">
        <x:f>P91-$P$5</x:f>
        <x:v>-0.32000000000007844</x:v>
      </x:c>
      <x:c r="R91" s="2" t="str">
        <x:v>平行工件XY</x:v>
      </x:c>
    </x:row>
    <x:row r="92" ht="24" customHeight="1">
      <x:c r="A92" s="24" t="n">
        <x:v>85</x:v>
      </x:c>
      <x:c r="B92" s="2" t="str">
        <x:v>H084</x:v>
      </x:c>
      <x:c r="C92" s="2" t="str">
        <x:v>旋入轨迹</x:v>
      </x:c>
      <x:c r="D92" s="17" t="n">
        <x:v>0.017207293090531393</x:v>
      </x:c>
      <x:c r="E92" s="17" t="n">
        <x:v>0.024574561328669742</x:v>
      </x:c>
      <x:c r="F92" s="17" t="n">
        <x:v>-0.32999999999999996</x:v>
      </x:c>
      <x:c r="G92" s="17" t="n">
        <x:v>0.8604965676202315</x:v>
      </x:c>
      <x:c r="H92" s="17" t="n">
        <x:v>1.2288204199843744</x:v>
      </x:c>
      <x:c r="I92" s="17" t="n">
        <x:v>0.4408427595803234</x:v>
      </x:c>
      <x:c r="J92" s="17" t="n">
        <x:v>0.45424141251935624</x:v>
      </x:c>
      <x:c r="K92" s="17" t="n">
        <x:v>-0.4510834604278123</x:v>
      </x:c>
      <x:c r="L92" s="17" t="n">
        <x:v>-0.45393325853928407</x:v>
      </x:c>
      <x:c r="M92" s="17" t="n">
        <x:v>0.9109778187718858</x:v>
      </x:c>
      <x:c r="N92" s="17" t="n">
        <x:v>336.0972072930908</x:v>
      </x:c>
      <x:c r="O92" s="17" t="n">
        <x:v>192.0545745613287</x:v>
      </x:c>
      <x:c r="P92" s="17" t="n">
        <x:v>-80.33000000000007</x:v>
      </x:c>
      <x:c r="Q92" s="17" t="n">
        <x:f>P92-$P$5</x:f>
        <x:v>-0.33000000000006935</x:v>
      </x:c>
      <x:c r="R92" s="2" t="str">
        <x:v>平行工件XY</x:v>
      </x:c>
    </x:row>
    <x:row r="93" ht="24" customHeight="1">
      <x:c r="A93" s="24" t="n">
        <x:v>86</x:v>
      </x:c>
      <x:c r="B93" s="2" t="str">
        <x:v>H085</x:v>
      </x:c>
      <x:c r="C93" s="2" t="str">
        <x:v>旋入轨迹</x:v>
      </x:c>
      <x:c r="D93" s="17" t="n">
        <x:v>0.01499999999999999</x:v>
      </x:c>
      <x:c r="E93" s="17" t="n">
        <x:v>0.025980762113533163</x:v>
      </x:c>
      <x:c r="F93" s="17" t="n">
        <x:v>-0.33999999999999997</x:v>
      </x:c>
      <x:c r="G93" s="17" t="n">
        <x:v>0.7501285324966617</x:v>
      </x:c>
      <x:c r="H93" s="17" t="n">
        <x:v>1.2991122986898664</x:v>
      </x:c>
      <x:c r="I93" s="17" t="n">
        <x:v>0.4669982583200233</x:v>
      </x:c>
      <x:c r="J93" s="17" t="n">
        <x:v>0.3968141529660593</x:v>
      </x:c>
      <x:c r="K93" s="17" t="n">
        <x:v>-0.4766928657317087</x:v>
      </x:c>
      <x:c r="L93" s="17" t="n">
        <x:v>-0.3960979049398654</x:v>
      </x:c>
      <x:c r="M93" s="17" t="n">
        <x:v>0.938612851628303</x:v>
      </x:c>
      <x:c r="N93" s="17" t="n">
        <x:v>336.09500000000025</x:v>
      </x:c>
      <x:c r="O93" s="17" t="n">
        <x:v>192.05598076211356</x:v>
      </x:c>
      <x:c r="P93" s="17" t="n">
        <x:v>-80.34000000000006</x:v>
      </x:c>
      <x:c r="Q93" s="17" t="n">
        <x:f>P93-$P$5</x:f>
        <x:v>-0.34000000000006025</x:v>
      </x:c>
      <x:c r="R93" s="2" t="str">
        <x:v>平行工件XY</x:v>
      </x:c>
    </x:row>
    <x:row r="94" ht="24" customHeight="1">
      <x:c r="A94" s="24" t="n">
        <x:v>87</x:v>
      </x:c>
      <x:c r="B94" s="2" t="str">
        <x:v>H086</x:v>
      </x:c>
      <x:c r="C94" s="2" t="str">
        <x:v>旋入轨迹</x:v>
      </x:c>
      <x:c r="D94" s="17" t="n">
        <x:v>0.012678547852220978</x:v>
      </x:c>
      <x:c r="E94" s="17" t="n">
        <x:v>0.0271892336110995</x:v>
      </x:c>
      <x:c r="F94" s="17" t="n">
        <x:v>-0.35</x:v>
      </x:c>
      <x:c r="G94" s="17" t="n">
        <x:v>0.6340463781308269</x:v>
      </x:c>
      <x:c r="H94" s="17" t="n">
        <x:v>1.359517149748237</x:v>
      </x:c>
      <x:c r="I94" s="17" t="n">
        <x:v>0.48948442021255156</x:v>
      </x:c>
      <x:c r="J94" s="17" t="n">
        <x:v>0.3360053141613133</x:v>
      </x:c>
      <x:c r="K94" s="17" t="n">
        <x:v>-0.49864679602808293</x:v>
      </x:c>
      <x:c r="L94" s="17" t="n">
        <x:v>-0.3350648798434557</x:v>
      </x:c>
      <x:c r="M94" s="17" t="n">
        <x:v>0.9662807197731004</x:v>
      </x:c>
      <x:c r="N94" s="17" t="n">
        <x:v>336.0926785478526</x:v>
      </x:c>
      <x:c r="O94" s="17" t="n">
        <x:v>192.05718923361115</x:v>
      </x:c>
      <x:c r="P94" s="17" t="n">
        <x:v>-80.35000000000008</x:v>
      </x:c>
      <x:c r="Q94" s="17" t="n">
        <x:f>P94-$P$5</x:f>
        <x:v>-0.3500000000000796</x:v>
      </x:c>
      <x:c r="R94" s="2" t="str">
        <x:v>平行工件XY</x:v>
      </x:c>
    </x:row>
    <x:row r="95" ht="24" customHeight="1">
      <x:c r="A95" s="24" t="n">
        <x:v>88</x:v>
      </x:c>
      <x:c r="B95" s="2" t="str">
        <x:v>H087</x:v>
      </x:c>
      <x:c r="C95" s="2" t="str">
        <x:v>旋入轨迹</x:v>
      </x:c>
      <x:c r="D95" s="17" t="n">
        <x:v>0.010260604299770059</x:v>
      </x:c>
      <x:c r="E95" s="17" t="n">
        <x:v>0.028190778623577252</x:v>
      </x:c>
      <x:c r="F95" s="17" t="n">
        <x:v>-0.36</x:v>
      </x:c>
      <x:c r="G95" s="17" t="n">
        <x:v>0.5131337360596702</x:v>
      </x:c>
      <x:c r="H95" s="17" t="n">
        <x:v>1.4095765978985055</x:v>
      </x:c>
      <x:c r="I95" s="17" t="n">
        <x:v>0.5081132708037474</x:v>
      </x:c>
      <x:c r="J95" s="17" t="n">
        <x:v>0.2723211462065834</x:v>
      </x:c>
      <x:c r="K95" s="17" t="n">
        <x:v>-0.516782240545524</x:v>
      </x:c>
      <x:c r="L95" s="17" t="n">
        <x:v>-0.27132635668547983</x:v>
      </x:c>
      <x:c r="M95" s="17" t="n">
        <x:v>0.993981481723727</x:v>
      </x:c>
      <x:c r="N95" s="17" t="n">
        <x:v>336.09026060430006</x:v>
      </x:c>
      <x:c r="O95" s="17" t="n">
        <x:v>192.05819077862367</x:v>
      </x:c>
      <x:c r="P95" s="17" t="n">
        <x:v>-80.36000000000007</x:v>
      </x:c>
      <x:c r="Q95" s="17" t="n">
        <x:f>P95-$P$5</x:f>
        <x:v>-0.3600000000000705</x:v>
      </x:c>
      <x:c r="R95" s="2" t="str">
        <x:v>平行工件XY</x:v>
      </x:c>
    </x:row>
    <x:row r="96" ht="24" customHeight="1">
      <x:c r="A96" s="24" t="n">
        <x:v>89</x:v>
      </x:c>
      <x:c r="B96" s="2" t="str">
        <x:v>H088</x:v>
      </x:c>
      <x:c r="C96" s="2" t="str">
        <x:v>旋入轨迹</x:v>
      </x:c>
      <x:c r="D96" s="17" t="n">
        <x:v>0.007764571353075622</x:v>
      </x:c>
      <x:c r="E96" s="17" t="n">
        <x:v>0.02897777478867205</x:v>
      </x:c>
      <x:c r="F96" s="17" t="n">
        <x:v>-0.37</x:v>
      </x:c>
      <x:c r="G96" s="17" t="n">
        <x:v>0.38831134245708465</x:v>
      </x:c>
      <x:c r="H96" s="17" t="n">
        <x:v>1.4489109109770033</x:v>
      </x:c>
      <x:c r="I96" s="17" t="n">
        <x:v>0.5227288032895718</x:v>
      </x:c>
      <x:c r="J96" s="17" t="n">
        <x:v>0.20630138003750612</x:v>
      </x:c>
      <x:c r="K96" s="17" t="n">
        <x:v>-0.530965446318532</x:v>
      </x:c>
      <x:c r="L96" s="17" t="n">
        <x:v>-0.2054015764439945</x:v>
      </x:c>
      <x:c r="M96" s="17" t="n">
        <x:v>1.021715196111575</x:v>
      </x:c>
      <x:c r="N96" s="17" t="n">
        <x:v>336.0877645713534</x:v>
      </x:c>
      <x:c r="O96" s="17" t="n">
        <x:v>192.05897777478867</x:v>
      </x:c>
      <x:c r="P96" s="17" t="n">
        <x:v>-80.37000000000009</x:v>
      </x:c>
      <x:c r="Q96" s="17" t="n">
        <x:f>P96-$P$5</x:f>
        <x:v>-0.3700000000000898</x:v>
      </x:c>
      <x:c r="R96" s="2" t="str">
        <x:v>平行工件XY</x:v>
      </x:c>
    </x:row>
    <x:row r="97" ht="24" customHeight="1">
      <x:c r="A97" s="24" t="n">
        <x:v>90</x:v>
      </x:c>
      <x:c r="B97" s="2" t="str">
        <x:v>H089</x:v>
      </x:c>
      <x:c r="C97" s="2" t="str">
        <x:v>旋入轨迹</x:v>
      </x:c>
      <x:c r="D97" s="17" t="n">
        <x:v>0.005209445330007913</x:v>
      </x:c>
      <x:c r="E97" s="17" t="n">
        <x:v>0.02954423259036624</x:v>
      </x:c>
      <x:c r="F97" s="17" t="n">
        <x:v>-0.38</x:v>
      </x:c>
      <x:c r="G97" s="17" t="n">
        <x:v>0.26052999550899314</x:v>
      </x:c>
      <x:c r="H97" s="17" t="n">
        <x:v>1.4772218047669123</x:v>
      </x:c>
      <x:c r="I97" s="17" t="n">
        <x:v>0.5332087263232769</x:v>
      </x:c>
      <x:c r="J97" s="17" t="n">
        <x:v>0.13851332789882112</x:v>
      </x:c>
      <x:c r="K97" s="17" t="n">
        <x:v>-0.5410928373703002</x:v>
      </x:c>
      <x:c r="L97" s="17" t="n">
        <x:v>-0.13783182417719153</x:v>
      </x:c>
      <x:c r="M97" s="17" t="n">
        <x:v>1.0494819216924456</x:v>
      </x:c>
      <x:c r="N97" s="17" t="n">
        <x:v>336.0852094453302</x:v>
      </x:c>
      <x:c r="O97" s="17" t="n">
        <x:v>192.0595442325904</x:v>
      </x:c>
      <x:c r="P97" s="17" t="n">
        <x:v>-80.38</x:v>
      </x:c>
      <x:c r="Q97" s="17" t="n">
        <x:f>P97-$P$5</x:f>
        <x:v>-0.37999999999999545</x:v>
      </x:c>
      <x:c r="R97" s="2" t="str">
        <x:v>平行工件XY</x:v>
      </x:c>
    </x:row>
    <x:row r="98" ht="24" customHeight="1">
      <x:c r="A98" s="24" t="n">
        <x:v>91</x:v>
      </x:c>
      <x:c r="B98" s="2" t="str">
        <x:v>H090</x:v>
      </x:c>
      <x:c r="C98" s="2" t="str">
        <x:v>旋入轨迹</x:v>
      </x:c>
      <x:c r="D98" s="17" t="n">
        <x:v>0.002614672282429751</x:v>
      </x:c>
      <x:c r="E98" s="17" t="n">
        <x:v>0.029885840942752366</x:v>
      </x:c>
      <x:c r="F98" s="17" t="n">
        <x:v>-0.39</x:v>
      </x:c>
      <x:c r="G98" s="17" t="n">
        <x:v>0.13076326307996408</x:v>
      </x:c>
      <x:c r="H98" s="17" t="n">
        <x:v>1.4942946400349715</x:v>
      </x:c>
      <x:c r="I98" s="17" t="n">
        <x:v>0.5394658493841642</x:v>
      </x:c>
      <x:c r="J98" s="17" t="n">
        <x:v>0.069545375647917</x:v>
      </x:c>
      <x:c r="K98" s="17" t="n">
        <x:v>-0.5470917099193775</x:v>
      </x:c>
      <x:c r="L98" s="17" t="n">
        <x:v>-0.06917501809118963</x:v>
      </x:c>
      <x:c r="M98" s="17" t="n">
        <x:v>1.077281717362747</x:v>
      </x:c>
      <x:c r="N98" s="17" t="n">
        <x:v>336.0826146722827</x:v>
      </x:c>
      <x:c r="O98" s="17" t="n">
        <x:v>192.0598858409428</x:v>
      </x:c>
      <x:c r="P98" s="17" t="n">
        <x:v>-80.39000000000007</x:v>
      </x:c>
      <x:c r="Q98" s="17" t="n">
        <x:f>P98-$P$5</x:f>
        <x:v>-0.3900000000000716</x:v>
      </x:c>
      <x:c r="R98" s="2" t="str">
        <x:v>平行工件XY</x:v>
      </x:c>
    </x:row>
    <x:row r="99" ht="24" customHeight="1">
      <x:c r="A99" s="24" t="n">
        <x:v>92</x:v>
      </x:c>
      <x:c r="B99" s="2" t="str">
        <x:v>H091</x:v>
      </x:c>
      <x:c r="C99" s="2" t="str">
        <x:v>旋入轨迹</x:v>
      </x:c>
      <x:c r="D99" s="17" t="n">
        <x:v>9.184850993605149e-18</x:v>
      </x:c>
      <x:c r="E99" s="17" t="n">
        <x:v>0.03</x:v>
      </x:c>
      <x:c r="F99" s="17" t="n">
        <x:v>-0.4</x:v>
      </x:c>
      <x:c r="G99" s="17" t="n">
        <x:v>4.5934749841304735e-16</x:v>
      </x:c>
      <x:c r="H99" s="17" t="n">
        <x:v>1.5</x:v>
      </x:c>
      <x:c r="I99" s="17" t="n">
        <x:v>0.541449075753881</x:v>
      </x:c>
      <x:c r="J99" s="17" t="n">
        <x:v>1.2908842784890384e-13</x:v>
      </x:c>
      <x:c r="K99" s="17" t="n">
        <x:v>-0.5489207045568377</x:v>
      </x:c>
      <x:c r="L99" s="17" t="n">
        <x:v>-1.4675028749121537e-13</x:v>
      </x:c>
      <x:c r="M99" s="17" t="n">
        <x:v>1.1051146421705187</x:v>
      </x:c>
      <x:c r="N99" s="17" t="n">
        <x:v>336.0800000000003</x:v>
      </x:c>
      <x:c r="O99" s="17" t="n">
        <x:v>192.06000000000006</x:v>
      </x:c>
      <x:c r="P99" s="17" t="n">
        <x:v>-80.40000000000006</x:v>
      </x:c>
      <x:c r="Q99" s="17" t="n">
        <x:f>P99-$P$5</x:f>
        <x:v>-0.40000000000006253</x:v>
      </x:c>
      <x:c r="R99" s="2" t="str">
        <x:v>平行工件XY</x:v>
      </x:c>
    </x:row>
    <x:row r="100" ht="24" customHeight="1">
      <x:c r="A100" s="24" t="n">
        <x:v>93</x:v>
      </x:c>
      <x:c r="B100" s="2" t="str">
        <x:v>H092</x:v>
      </x:c>
      <x:c r="C100" s="2" t="str">
        <x:v>旋入轨迹</x:v>
      </x:c>
      <x:c r="D100" s="17" t="n">
        <x:v>-0.002614672282429733</x:v>
      </x:c>
      <x:c r="E100" s="17" t="n">
        <x:v>0.029885840942752366</x:v>
      </x:c>
      <x:c r="F100" s="17" t="n">
        <x:v>-0.41000000000000003</x:v>
      </x:c>
      <x:c r="G100" s="17" t="n">
        <x:v>-0.13076326307996314</x:v>
      </x:c>
      <x:c r="H100" s="17" t="n">
        <x:v>1.4942946400349715</x:v>
      </x:c>
      <x:c r="I100" s="17" t="n">
        <x:v>0.5391439811562545</x:v>
      </x:c>
      <x:c r="J100" s="17" t="n">
        <x:v>-0.06951353618304253</x:v>
      </x:c>
      <x:c r="K100" s="17" t="n">
        <x:v>-0.546570056814045</x:v>
      </x:c>
      <x:c r="L100" s="17" t="n">
        <x:v>0.06911937312036509</x:v>
      </x:c>
      <x:c r="M100" s="17" t="n">
        <x:v>1.1329807553318216</x:v>
      </x:c>
      <x:c r="N100" s="17" t="n">
        <x:v>336.07738532771793</x:v>
      </x:c>
      <x:c r="O100" s="17" t="n">
        <x:v>192.05988584094285</x:v>
      </x:c>
      <x:c r="P100" s="17" t="n">
        <x:v>-80.41000000000011</x:v>
      </x:c>
      <x:c r="Q100" s="17" t="n">
        <x:f>P100-$P$5</x:f>
        <x:v>-0.4100000000001103</x:v>
      </x:c>
      <x:c r="R100" s="2" t="str">
        <x:v>平行工件XY</x:v>
      </x:c>
    </x:row>
    <x:row r="101" ht="24" customHeight="1">
      <x:c r="A101" s="24" t="n">
        <x:v>94</x:v>
      </x:c>
      <x:c r="B101" s="2" t="str">
        <x:v>H093</x:v>
      </x:c>
      <x:c r="C101" s="2" t="str">
        <x:v>旋入轨迹</x:v>
      </x:c>
      <x:c r="D101" s="17" t="n">
        <x:v>-0.005209445330007895</x:v>
      </x:c>
      <x:c r="E101" s="17" t="n">
        <x:v>0.029544232590366242</x:v>
      </x:c>
      <x:c r="F101" s="17" t="n">
        <x:v>-0.42000000000000004</x:v>
      </x:c>
      <x:c r="G101" s="17" t="n">
        <x:v>-0.2605299955089923</x:v>
      </x:c>
      <x:c r="H101" s="17" t="n">
        <x:v>1.4772218047669126</x:v>
      </x:c>
      <x:c r="I101" s="17" t="n">
        <x:v>0.5325729650841625</x:v>
      </x:c>
      <x:c r="J101" s="17" t="n">
        <x:v>-0.13838664365526632</x:v>
      </x:c>
      <x:c r="K101" s="17" t="n">
        <x:v>-0.5400616275304947</x:v>
      </x:c>
      <x:c r="L101" s="17" t="n">
        <x:v>0.13761022938442266</x:v>
      </x:c>
      <x:c r="M101" s="17" t="n">
        <x:v>1.1608801162427718</x:v>
      </x:c>
      <x:c r="N101" s="17" t="n">
        <x:v>336.07479055467036</x:v>
      </x:c>
      <x:c r="O101" s="17" t="n">
        <x:v>192.05954423259047</x:v>
      </x:c>
      <x:c r="P101" s="17" t="n">
        <x:v>-80.42000000000007</x:v>
      </x:c>
      <x:c r="Q101" s="17" t="n">
        <x:f>P101-$P$5</x:f>
        <x:v>-0.42000000000007276</x:v>
      </x:c>
      <x:c r="R101" s="2" t="str">
        <x:v>平行工件XY</x:v>
      </x:c>
    </x:row>
    <x:row r="102" ht="24" customHeight="1">
      <x:c r="A102" s="24" t="n">
        <x:v>95</x:v>
      </x:c>
      <x:c r="B102" s="2" t="str">
        <x:v>H094</x:v>
      </x:c>
      <x:c r="C102" s="2" t="str">
        <x:v>旋入轨迹</x:v>
      </x:c>
      <x:c r="D102" s="17" t="n">
        <x:v>-0.007764571353075605</x:v>
      </x:c>
      <x:c r="E102" s="17" t="n">
        <x:v>0.028977774788672053</x:v>
      </x:c>
      <x:c r="F102" s="17" t="n">
        <x:v>-0.43000000000000005</x:v>
      </x:c>
      <x:c r="G102" s="17" t="n">
        <x:v>-0.3883113424570838</x:v>
      </x:c>
      <x:c r="H102" s="17" t="n">
        <x:v>1.4489109109770035</x:v>
      </x:c>
      <x:c r="I102" s="17" t="n">
        <x:v>0.5217949713794618</x:v>
      </x:c>
      <x:c r="J102" s="17" t="n">
        <x:v>-0.20601884799846254</x:v>
      </x:c>
      <x:c r="K102" s="17" t="n">
        <x:v>-0.5294487141032628</x:v>
      </x:c>
      <x:c r="L102" s="17" t="n">
        <x:v>0.2049066634554456</x:v>
      </x:c>
      <x:c r="M102" s="17" t="n">
        <x:v>1.1888127844904324</x:v>
      </x:c>
      <x:c r="N102" s="17" t="n">
        <x:v>336.0722354286472</x:v>
      </x:c>
      <x:c r="O102" s="17" t="n">
        <x:v>192.05897777478873</x:v>
      </x:c>
      <x:c r="P102" s="17" t="n">
        <x:v>-80.43000000000006</x:v>
      </x:c>
      <x:c r="Q102" s="17" t="n">
        <x:f>P102-$P$5</x:f>
        <x:v>-0.43000000000006366</x:v>
      </x:c>
      <x:c r="R102" s="2" t="str">
        <x:v>平行工件XY</x:v>
      </x:c>
    </x:row>
    <x:row r="103" ht="24" customHeight="1">
      <x:c r="A103" s="24" t="n">
        <x:v>96</x:v>
      </x:c>
      <x:c r="B103" s="2" t="str">
        <x:v>H095</x:v>
      </x:c>
      <x:c r="C103" s="2" t="str">
        <x:v>旋入轨迹</x:v>
      </x:c>
      <x:c r="D103" s="17" t="n">
        <x:v>-0.010260604299770042</x:v>
      </x:c>
      <x:c r="E103" s="17" t="n">
        <x:v>0.02819077862357726</x:v>
      </x:c>
      <x:c r="F103" s="17" t="n">
        <x:v>-0.43999999999999995</x:v>
      </x:c>
      <x:c r="G103" s="17" t="n">
        <x:v>-0.5131337360596693</x:v>
      </x:c>
      <x:c r="H103" s="17" t="n">
        <x:v>1.4095765978985058</x:v>
      </x:c>
      <x:c r="I103" s="17" t="n">
        <x:v>0.5069047843314813</x:v>
      </x:c>
      <x:c r="J103" s="17" t="n">
        <x:v>-0.27182503956590665</x:v>
      </x:c>
      <x:c r="K103" s="17" t="n">
        <x:v>-0.5148156432633267</x:v>
      </x:c>
      <x:c r="L103" s="17" t="n">
        <x:v>0.2704555892512906</x:v>
      </x:c>
      <x:c r="M103" s="17" t="n">
        <x:v>1.2167788198594875</x:v>
      </x:c>
      <x:c r="N103" s="17" t="n">
        <x:v>336.0697393957005</x:v>
      </x:c>
      <x:c r="O103" s="17" t="n">
        <x:v>192.05819077862355</x:v>
      </x:c>
      <x:c r="P103" s="17" t="n">
        <x:v>-80.44000000000008</x:v>
      </x:c>
      <x:c r="Q103" s="17" t="n">
        <x:f>P103-$P$5</x:f>
        <x:v>-0.440000000000083</x:v>
      </x:c>
      <x:c r="R103" s="2" t="str">
        <x:v>平行工件XY</x:v>
      </x:c>
    </x:row>
    <x:row r="104" ht="24" customHeight="1">
      <x:c r="A104" s="24" t="n">
        <x:v>97</x:v>
      </x:c>
      <x:c r="B104" s="2" t="str">
        <x:v>H096</x:v>
      </x:c>
      <x:c r="C104" s="2" t="str">
        <x:v>旋入轨迹</x:v>
      </x:c>
      <x:c r="D104" s="17" t="n">
        <x:v>-0.01267854785222096</x:v>
      </x:c>
      <x:c r="E104" s="17" t="n">
        <x:v>0.027189233611099508</x:v>
      </x:c>
      <x:c r="F104" s="17" t="n">
        <x:v>-0.44999999999999996</x:v>
      </x:c>
      <x:c r="G104" s="17" t="n">
        <x:v>-0.634046378130826</x:v>
      </x:c>
      <x:c r="H104" s="17" t="n">
        <x:v>1.3595171497482372</x:v>
      </x:c>
      <x:c r="I104" s="17" t="n">
        <x:v>0.4880319159833287</x:v>
      </x:c>
      <x:c r="J104" s="17" t="n">
        <x:v>-0.33524236781041644</x:v>
      </x:c>
      <x:c r="K104" s="17" t="n">
        <x:v>-0.49627714570163994</x:v>
      </x:c>
      <x:c r="L104" s="17" t="n">
        <x:v>0.3337223586478521</x:v>
      </x:c>
      <x:c r="M104" s="17" t="n">
        <x:v>1.2447782823301128</x:v>
      </x:c>
      <x:c r="N104" s="17" t="n">
        <x:v>336.0673214521482</x:v>
      </x:c>
      <x:c r="O104" s="17" t="n">
        <x:v>192.0571892336112</x:v>
      </x:c>
      <x:c r="P104" s="17" t="n">
        <x:v>-80.45000000000005</x:v>
      </x:c>
      <x:c r="Q104" s="17" t="n">
        <x:f>P104-$P$5</x:f>
        <x:v>-0.4500000000000455</x:v>
      </x:c>
      <x:c r="R104" s="2" t="str">
        <x:v>平行工件XY</x:v>
      </x:c>
    </x:row>
    <x:row r="105" ht="24" customHeight="1">
      <x:c r="A105" s="24" t="n">
        <x:v>98</x:v>
      </x:c>
      <x:c r="B105" s="2" t="str">
        <x:v>H097</x:v>
      </x:c>
      <x:c r="C105" s="2" t="str">
        <x:v>旋入轨迹</x:v>
      </x:c>
      <x:c r="D105" s="17" t="n">
        <x:v>-0.014999999999999977</x:v>
      </x:c>
      <x:c r="E105" s="17" t="n">
        <x:v>0.025980762113533173</x:v>
      </x:c>
      <x:c r="F105" s="17" t="n">
        <x:v>-0.45999999999999996</x:v>
      </x:c>
      <x:c r="G105" s="17" t="n">
        <x:v>-0.7501285324966609</x:v>
      </x:c>
      <x:c r="H105" s="17" t="n">
        <x:v>1.2991122986898669</x:v>
      </x:c>
      <x:c r="I105" s="17" t="n">
        <x:v>0.4653391090705401</x:v>
      </x:c>
      <x:c r="J105" s="17" t="n">
        <x:v>-0.3957366309631773</x:v>
      </x:c>
      <x:c r="K105" s="17" t="n">
        <x:v>-0.4739775128577772</x:v>
      </x:c>
      <x:c r="L105" s="17" t="n">
        <x:v>0.39419604945000547</x:v>
      </x:c>
      <x:c r="M105" s="17" t="n">
        <x:v>1.272811232078542</x:v>
      </x:c>
      <x:c r="N105" s="17" t="n">
        <x:v>336.06500000000017</x:v>
      </x:c>
      <x:c r="O105" s="17" t="n">
        <x:v>192.05598076211356</x:v>
      </x:c>
      <x:c r="P105" s="17" t="n">
        <x:v>-80.46000000000006</x:v>
      </x:c>
      <x:c r="Q105" s="17" t="n">
        <x:f>P105-$P$5</x:f>
        <x:v>-0.4600000000000648</x:v>
      </x:c>
      <x:c r="R105" s="2" t="str">
        <x:v>平行工件XY</x:v>
      </x:c>
    </x:row>
    <x:row r="106" ht="24" customHeight="1">
      <x:c r="A106" s="24" t="n">
        <x:v>99</x:v>
      </x:c>
      <x:c r="B106" s="2" t="str">
        <x:v>H098</x:v>
      </x:c>
      <x:c r="C106" s="2" t="str">
        <x:v>旋入轨迹</x:v>
      </x:c>
      <x:c r="D106" s="17" t="n">
        <x:v>-0.01720729309053136</x:v>
      </x:c>
      <x:c r="E106" s="17" t="n">
        <x:v>0.02457456132866977</x:v>
      </x:c>
      <x:c r="F106" s="17" t="n">
        <x:v>-0.47</x:v>
      </x:c>
      <x:c r="G106" s="17" t="n">
        <x:v>-0.8604965676202297</x:v>
      </x:c>
      <x:c r="H106" s="17" t="n">
        <x:v>1.2288204199843757</x:v>
      </x:c>
      <x:c r="I106" s="17" t="n">
        <x:v>0.4390204877046426</x:v>
      </x:c>
      <x:c r="J106" s="17" t="n">
        <x:v>-0.4528080332363416</x:v>
      </x:c>
      <x:c r="K106" s="17" t="n">
        <x:v>-0.4480895366581258</x:v>
      </x:c>
      <x:c r="L106" s="17" t="n">
        <x:v>0.4513943376794251</x:v>
      </x:c>
      <x:c r="M106" s="17" t="n">
        <x:v>1.300877729463166</x:v>
      </x:c>
      <x:c r="N106" s="17" t="n">
        <x:v>336.0627927069098</x:v>
      </x:c>
      <x:c r="O106" s="17" t="n">
        <x:v>192.0545745613287</x:v>
      </x:c>
      <x:c r="P106" s="17" t="n">
        <x:v>-80.47000000000006</x:v>
      </x:c>
      <x:c r="Q106" s="17" t="n">
        <x:f>P106-$P$5</x:f>
        <x:v>-0.4700000000000557</x:v>
      </x:c>
      <x:c r="R106" s="2" t="str">
        <x:v>平行工件XY</x:v>
      </x:c>
    </x:row>
    <x:row r="107" ht="24" customHeight="1">
      <x:c r="A107" s="24" t="n">
        <x:v>100</x:v>
      </x:c>
      <x:c r="B107" s="2" t="str">
        <x:v>H099</x:v>
      </x:c>
      <x:c r="C107" s="2" t="str">
        <x:v>旋入轨迹</x:v>
      </x:c>
      <x:c r="D107" s="17" t="n">
        <x:v>-0.019283628290596194</x:v>
      </x:c>
      <x:c r="E107" s="17" t="n">
        <x:v>0.022981333293569325</x:v>
      </x:c>
      <x:c r="F107" s="17" t="n">
        <x:v>-0.48</x:v>
      </x:c>
      <x:c r="G107" s="17" t="n">
        <x:v>-0.9643106935218857</x:v>
      </x:c>
      <x:c r="H107" s="17" t="n">
        <x:v>1.1491751348861745</x:v>
      </x:c>
      <x:c r="I107" s="17" t="n">
        <x:v>0.4092993942545112</x:v>
      </x:c>
      <x:c r="J107" s="17" t="n">
        <x:v>-0.5059962074450425</x:v>
      </x:c>
      <x:c r="K107" s="17" t="n">
        <x:v>-0.4188132340389653</x:v>
      </x:c>
      <x:c r="L107" s="17" t="n">
        <x:v>0.5048678835749949</x:v>
      </x:c>
      <x:c r="M107" s="17" t="n">
        <x:v>1.3289778350137127</x:v>
      </x:c>
      <x:c r="N107" s="17" t="n">
        <x:v>336.06071637170976</x:v>
      </x:c>
      <x:c r="O107" s="17" t="n">
        <x:v>192.0529813332936</x:v>
      </x:c>
      <x:c r="P107" s="17" t="n">
        <x:v>-80.48000000000008</x:v>
      </x:c>
      <x:c r="Q107" s="17" t="n">
        <x:f>P107-$P$5</x:f>
        <x:v>-0.48000000000007503</x:v>
      </x:c>
      <x:c r="R107" s="2" t="str">
        <x:v>平行工件XY</x:v>
      </x:c>
    </x:row>
    <x:row r="108" ht="24" customHeight="1">
      <x:c r="A108" s="24" t="n">
        <x:v>101</x:v>
      </x:c>
      <x:c r="B108" s="2" t="str">
        <x:v>H100</x:v>
      </x:c>
      <x:c r="C108" s="2" t="str">
        <x:v>旋入轨迹</x:v>
      </x:c>
      <x:c r="D108" s="17" t="n">
        <x:v>-0.021213203435596437</x:v>
      </x:c>
      <x:c r="E108" s="17" t="n">
        <x:v>0.021213203435596413</x:v>
      </x:c>
      <x:c r="F108" s="17" t="n">
        <x:v>-0.49</x:v>
      </x:c>
      <x:c r="G108" s="17" t="n">
        <x:v>-1.060781340919905</x:v>
      </x:c>
      <x:c r="H108" s="17" t="n">
        <x:v>1.0607813409199038</x:v>
      </x:c>
      <x:c r="I108" s="17" t="n">
        <x:v>0.3764259556806337</x:v>
      </x:c>
      <x:c r="J108" s="17" t="n">
        <x:v>-0.5548844295663132</x:v>
      </x:c>
      <x:c r="K108" s="17" t="n">
        <x:v>-0.3863743597581378</x:v>
      </x:c>
      <x:c r="L108" s="17" t="n">
        <x:v>0.554204176784598</x:v>
      </x:c>
      <x:c r="M108" s="17" t="n">
        <x:v>1.3571116094077942</x:v>
      </x:c>
      <x:c r="N108" s="17" t="n">
        <x:v>336.0587867965648</x:v>
      </x:c>
      <x:c r="O108" s="17" t="n">
        <x:v>192.05121320343565</x:v>
      </x:c>
      <x:c r="P108" s="17" t="n">
        <x:v>-80.49000000000007</x:v>
      </x:c>
      <x:c r="Q108" s="17" t="n">
        <x:f>P108-$P$5</x:f>
        <x:v>-0.49000000000006594</x:v>
      </x:c>
      <x:c r="R108" s="2" t="str">
        <x:v>平行工件XY</x:v>
      </x:c>
    </x:row>
    <x:row r="109" ht="24" customHeight="1">
      <x:c r="A109" s="24" t="n">
        <x:v>102</x:v>
      </x:c>
      <x:c r="B109" s="2" t="str">
        <x:v>H101</x:v>
      </x:c>
      <x:c r="C109" s="2" t="str">
        <x:v>旋入轨迹</x:v>
      </x:c>
      <x:c r="D109" s="17" t="n">
        <x:v>-0.02298133329356935</x:v>
      </x:c>
      <x:c r="E109" s="17" t="n">
        <x:v>0.01928362829059617</x:v>
      </x:c>
      <x:c r="F109" s="17" t="n">
        <x:v>-0.5</x:v>
      </x:c>
      <x:c r="G109" s="17" t="n">
        <x:v>-1.1491751348861754</x:v>
      </x:c>
      <x:c r="H109" s="17" t="n">
        <x:v>0.9643106935218847</x:v>
      </x:c>
      <x:c r="I109" s="17" t="n">
        <x:v>0.34067442572641743</x:v>
      </x:c>
      <x:c r="J109" s="17" t="n">
        <x:v>-0.5991029815730335</x:v>
      </x:c>
      <x:c r="K109" s="17" t="n">
        <x:v>-0.3510227132342028</x:v>
      </x:c>
      <x:c r="L109" s="17" t="n">
        <x:v>0.5990308031730137</x:v>
      </x:c>
      <x:c r="M109" s="17" t="n">
        <x:v>1.3852791134563374</x:v>
      </x:c>
      <x:c r="N109" s="17" t="n">
        <x:v>336.0570186667067</x:v>
      </x:c>
      <x:c r="O109" s="17" t="n">
        <x:v>192.04928362829065</x:v>
      </x:c>
      <x:c r="P109" s="17" t="n">
        <x:v>-80.50000000000009</x:v>
      </x:c>
      <x:c r="Q109" s="17" t="n">
        <x:f>P109-$P$5</x:f>
        <x:v>-0.5000000000000853</x:v>
      </x:c>
      <x:c r="R109" s="2" t="str">
        <x:v>平行工件XY</x:v>
      </x:c>
    </x:row>
    <x:row r="110" ht="24" customHeight="1">
      <x:c r="A110" s="24" t="n">
        <x:v>103</x:v>
      </x:c>
      <x:c r="B110" s="2" t="str">
        <x:v>S001</x:v>
      </x:c>
      <x:c r="C110" s="2" t="str">
        <x:v>加严工况</x:v>
      </x:c>
      <x:c r="D110" s="17" t="n">
        <x:v>0</x:v>
      </x:c>
      <x:c r="E110" s="17" t="n">
        <x:v>0</x:v>
      </x:c>
      <x:c r="F110" s="17" t="n">
        <x:v>-1</x:v>
      </x:c>
      <x:c r="G110" s="17" t="n">
        <x:v>0</x:v>
      </x:c>
      <x:c r="H110" s="17" t="n">
        <x:v>0</x:v>
      </x:c>
      <x:c r="I110" s="17" t="n">
        <x:v>-1.2326887503271076e-15</x:v>
      </x:c>
      <x:c r="J110" s="17" t="n">
        <x:v>-2.30358634843621e-14</x:v>
      </x:c>
      <x:c r="K110" s="17" t="n">
        <x:v>-5.268195271154019e-15</x:v>
      </x:c>
      <x:c r="L110" s="17" t="n">
        <x:v>3.696662462883976e-14</x:v>
      </x:c>
      <x:c r="M110" s="17" t="n">
        <x:v>2.8359284696427056</x:v>
      </x:c>
      <x:c r="N110" s="17" t="n">
        <x:v>336.0800000000004</x:v>
      </x:c>
      <x:c r="O110" s="17" t="n">
        <x:v>192.03000000000006</x:v>
      </x:c>
      <x:c r="P110" s="17" t="n">
        <x:v>-81.00000000000009</x:v>
      </x:c>
      <x:c r="Q110" s="17" t="n">
        <x:f>P110-$P$5</x:f>
        <x:v>-1.0000000000000853</x:v>
      </x:c>
      <x:c r="R110" s="2" t="str">
        <x:v>平行工件XY</x:v>
      </x:c>
    </x:row>
    <x:row r="111" ht="24" customHeight="1">
      <x:c r="A111" s="24" t="n">
        <x:v>104</x:v>
      </x:c>
      <x:c r="B111" s="2" t="str">
        <x:v>S002</x:v>
      </x:c>
      <x:c r="C111" s="2" t="str">
        <x:v>加严工况</x:v>
      </x:c>
      <x:c r="D111" s="17" t="n">
        <x:v>0</x:v>
      </x:c>
      <x:c r="E111" s="17" t="n">
        <x:v>0</x:v>
      </x:c>
      <x:c r="F111" s="17" t="n">
        <x:v>-0.5</x:v>
      </x:c>
      <x:c r="G111" s="17" t="n">
        <x:v>0</x:v>
      </x:c>
      <x:c r="H111" s="17" t="n">
        <x:v>0</x:v>
      </x:c>
      <x:c r="I111" s="17" t="n">
        <x:v>-7.483907339286009e-15</x:v>
      </x:c>
      <x:c r="J111" s="17" t="n">
        <x:v>-5.688289031543087e-15</x:v>
      </x:c>
      <x:c r="K111" s="17" t="n">
        <x:v>3.5638875617824975e-15</x:v>
      </x:c>
      <x:c r="L111" s="17" t="n">
        <x:v>-4.5174730854904055e-15</x:v>
      </x:c>
      <x:c r="M111" s="17" t="n">
        <x:v>1.3833178038072096</x:v>
      </x:c>
      <x:c r="N111" s="17" t="n">
        <x:v>336.0800000000004</x:v>
      </x:c>
      <x:c r="O111" s="17" t="n">
        <x:v>192.03000000000006</x:v>
      </x:c>
      <x:c r="P111" s="17" t="n">
        <x:v>-80.50000000000009</x:v>
      </x:c>
      <x:c r="Q111" s="17" t="n">
        <x:f>P111-$P$5</x:f>
        <x:v>-0.5000000000000853</x:v>
      </x:c>
      <x:c r="R111" s="2" t="str">
        <x:v>平行工件XY</x:v>
      </x:c>
    </x:row>
    <x:row r="112" ht="24" customHeight="1">
      <x:c r="A112" s="24" t="n">
        <x:v>105</x:v>
      </x:c>
      <x:c r="B112" s="2" t="str">
        <x:v>S003</x:v>
      </x:c>
      <x:c r="C112" s="2" t="str">
        <x:v>加严工况</x:v>
      </x:c>
      <x:c r="D112" s="17" t="n">
        <x:v>-0.035355339059327376</x:v>
      </x:c>
      <x:c r="E112" s="17" t="n">
        <x:v>0.03535533905932738</x:v>
      </x:c>
      <x:c r="F112" s="17" t="n">
        <x:v>-1</x:v>
      </x:c>
      <x:c r="G112" s="17" t="n">
        <x:v>3.54002475735637</x:v>
      </x:c>
      <x:c r="H112" s="17" t="n">
        <x:v>-3.5400247573563717</x:v>
      </x:c>
      <x:c r="I112" s="17" t="n">
        <x:v>-1.2337901874967165</x:v>
      </x:c>
      <x:c r="J112" s="17" t="n">
        <x:v>1.5430808547437356</x:v>
      </x:c>
      <x:c r="K112" s="17" t="n">
        <x:v>1.1533033953931424</x:v>
      </x:c>
      <x:c r="L112" s="17" t="n">
        <x:v>-1.5576252017928487</x:v>
      </x:c>
      <x:c r="M112" s="17" t="n">
        <x:v>2.837435590936749</x:v>
      </x:c>
      <x:c r="N112" s="17" t="n">
        <x:v>336.0446446609409</x:v>
      </x:c>
      <x:c r="O112" s="17" t="n">
        <x:v>192.0653553390594</x:v>
      </x:c>
      <x:c r="P112" s="17" t="n">
        <x:v>-81.00000000000009</x:v>
      </x:c>
      <x:c r="Q112" s="17" t="n">
        <x:f>P112-$P$5</x:f>
        <x:v>-1.0000000000000853</x:v>
      </x:c>
      <x:c r="R112" s="2" t="str">
        <x:v>平行工件XY</x:v>
      </x:c>
    </x:row>
    <x:row r="113" ht="24" customHeight="1">
      <x:c r="A113" s="24" t="n">
        <x:v>106</x:v>
      </x:c>
      <x:c r="B113" s="2" t="str">
        <x:v>S004</x:v>
      </x:c>
      <x:c r="C113" s="2" t="str">
        <x:v>加严工况</x:v>
      </x:c>
      <x:c r="D113" s="17" t="n">
        <x:v>-0.035355339059327376</x:v>
      </x:c>
      <x:c r="E113" s="17" t="n">
        <x:v>0.03535533905932738</x:v>
      </x:c>
      <x:c r="F113" s="17" t="n">
        <x:v>-0.5</x:v>
      </x:c>
      <x:c r="G113" s="17" t="n">
        <x:v>3.54002475735637</x:v>
      </x:c>
      <x:c r="H113" s="17" t="n">
        <x:v>-3.5400247573563717</x:v>
      </x:c>
      <x:c r="I113" s="17" t="n">
        <x:v>-1.254353367880938</x:v>
      </x:c>
      <x:c r="J113" s="17" t="n">
        <x:v>1.5576724482828403</x:v>
      </x:c>
      <x:c r="K113" s="17" t="n">
        <x:v>1.1848344804340922</x:v>
      </x:c>
      <x:c r="L113" s="17" t="n">
        <x:v>-1.589996050820833</x:v>
      </x:c>
      <x:c r="M113" s="17" t="n">
        <x:v>1.3832458490644997</x:v>
      </x:c>
      <x:c r="N113" s="17" t="n">
        <x:v>336.04464466094106</x:v>
      </x:c>
      <x:c r="O113" s="17" t="n">
        <x:v>192.0653553390594</x:v>
      </x:c>
      <x:c r="P113" s="17" t="n">
        <x:v>-80.50000000000009</x:v>
      </x:c>
      <x:c r="Q113" s="17" t="n">
        <x:f>P113-$P$5</x:f>
        <x:v>-0.5000000000000853</x:v>
      </x:c>
      <x:c r="R113" s="2" t="str">
        <x:v>平行工件XY</x:v>
      </x:c>
    </x:row>
    <x:row r="114" ht="24" customHeight="1">
      <x:c r="A114" s="24" t="n">
        <x:v>107</x:v>
      </x:c>
      <x:c r="B114" s="2" t="str">
        <x:v>S005</x:v>
      </x:c>
      <x:c r="C114" s="2" t="str">
        <x:v>加严工况</x:v>
      </x:c>
      <x:c r="D114" s="17" t="n">
        <x:v>0.03535533905932737</x:v>
      </x:c>
      <x:c r="E114" s="17" t="n">
        <x:v>-0.03535533905932738</x:v>
      </x:c>
      <x:c r="F114" s="17" t="n">
        <x:v>0</x:v>
      </x:c>
      <x:c r="G114" s="17" t="n">
        <x:v>3.54002475735637</x:v>
      </x:c>
      <x:c r="H114" s="17" t="n">
        <x:v>-3.5400247573563717</x:v>
      </x:c>
      <x:c r="I114" s="17" t="n">
        <x:v>-1.3220273306494008</x:v>
      </x:c>
      <x:c r="J114" s="17" t="n">
        <x:v>1.6052161014209143</x:v>
      </x:c>
      <x:c r="K114" s="17" t="n">
        <x:v>1.2885414952331076</x:v>
      </x:c>
      <x:c r="L114" s="17" t="n">
        <x:v>-1.6958850582157148</x:v>
      </x:c>
      <x:c r="M114" s="17" t="n">
        <x:v>0.025578181866268968</x:v>
      </x:c>
      <x:c r="N114" s="17" t="n">
        <x:v>336.11535533905965</x:v>
      </x:c>
      <x:c r="O114" s="17" t="n">
        <x:v>191.99464466094076</x:v>
      </x:c>
      <x:c r="P114" s="17" t="n">
        <x:v>-80.00000000000003</x:v>
      </x:c>
      <x:c r="Q114" s="17" t="n">
        <x:f>P114-$P$5</x:f>
        <x:v>-2.842170943040401e-14</x:v>
      </x:c>
      <x:c r="R114" s="2" t="str">
        <x:v>平行工件XY</x:v>
      </x:c>
    </x:row>
    <x:row r="115" ht="24" customHeight="1">
      <x:c r="A115" s="24" t="n">
        <x:v>108</x:v>
      </x:c>
      <x:c r="B115" s="2" t="str">
        <x:v>S006</x:v>
      </x:c>
      <x:c r="C115" s="2" t="str">
        <x:v>加严工况</x:v>
      </x:c>
      <x:c r="D115" s="17" t="n">
        <x:v>0</x:v>
      </x:c>
      <x:c r="E115" s="17" t="n">
        <x:v>0</x:v>
      </x:c>
      <x:c r="F115" s="17" t="n">
        <x:v>0</x:v>
      </x:c>
      <x:c r="G115" s="17" t="n">
        <x:v>0</x:v>
      </x:c>
      <x:c r="H115" s="17" t="n">
        <x:v>0</x:v>
      </x:c>
      <x:c r="I115" s="17" t="n">
        <x:v>1.1747737966183503e-14</x:v>
      </x:c>
      <x:c r="J115" s="17" t="n">
        <x:v>2.2872293401758256e-14</x:v>
      </x:c>
      <x:c r="K115" s="17" t="n">
        <x:v>-1.1360066344802974e-14</x:v>
      </x:c>
      <x:c r="L115" s="17" t="n">
        <x:v>-2.8884842282011436e-14</x:v>
      </x:c>
      <x:c r="M115" s="17" t="n">
        <x:v>0.015198086950715613</x:v>
      </x:c>
      <x:c r="N115" s="17" t="n">
        <x:v>336.0800000000004</x:v>
      </x:c>
      <x:c r="O115" s="17" t="n">
        <x:v>192.03000000000006</x:v>
      </x:c>
      <x:c r="P115" s="17" t="n">
        <x:v>-80.00000000000009</x:v>
      </x:c>
      <x:c r="Q115" s="17" t="n">
        <x:f>P115-$P$5</x:f>
        <x:v>-8.526512829121202e-14</x:v>
      </x:c>
      <x:c r="R115" s="2" t="str">
        <x:v>平行工件XY</x:v>
      </x:c>
    </x:row>
    <x:row r="116" ht="24" customHeight="1">
      <x:c r="A116" s="24" t="n">
        <x:v>109</x:v>
      </x:c>
      <x:c r="B116" s="2" t="str">
        <x:v>S007</x:v>
      </x:c>
      <x:c r="C116" s="2" t="str">
        <x:v>加严工况</x:v>
      </x:c>
      <x:c r="D116" s="17" t="n">
        <x:v>0.03535533905932737</x:v>
      </x:c>
      <x:c r="E116" s="17" t="n">
        <x:v>-0.03535533905932738</x:v>
      </x:c>
      <x:c r="F116" s="17" t="n">
        <x:v>0.5</x:v>
      </x:c>
      <x:c r="G116" s="17" t="n">
        <x:v>-3.540024757356371</x:v>
      </x:c>
      <x:c r="H116" s="17" t="n">
        <x:v>3.5400247573563712</x:v>
      </x:c>
      <x:c r="I116" s="17" t="n">
        <x:v>1.183331263392065</x:v>
      </x:c>
      <x:c r="J116" s="17" t="n">
        <x:v>-1.965644174057177</x:v>
      </x:c>
      <x:c r="K116" s="17" t="n">
        <x:v>-1.2461857949929227</x:v>
      </x:c>
      <x:c r="L116" s="17" t="n">
        <x:v>1.8801285001697796</x:v>
      </x:c>
      <x:c r="M116" s="17" t="n">
        <x:v>-1.2767503945037124</x:v>
      </x:c>
      <x:c r="N116" s="17" t="n">
        <x:v>336.1153553390597</x:v>
      </x:c>
      <x:c r="O116" s="17" t="n">
        <x:v>191.99464466094074</x:v>
      </x:c>
      <x:c r="P116" s="17" t="n">
        <x:v>-79.50000000000003</x:v>
      </x:c>
      <x:c r="Q116" s="17" t="n">
        <x:f>P116-$P$5</x:f>
        <x:v>0.4999999999999716</x:v>
      </x:c>
      <x:c r="R116" s="2" t="str">
        <x:v>平行工件XY</x:v>
      </x:c>
    </x:row>
    <x:row r="117" ht="24" customHeight="1">
      <x:c r="A117" s="24" t="n">
        <x:v>110</x:v>
      </x:c>
      <x:c r="B117" s="2" t="str">
        <x:v>S008</x:v>
      </x:c>
      <x:c r="C117" s="2" t="str">
        <x:v>加严工况</x:v>
      </x:c>
      <x:c r="D117" s="17" t="n">
        <x:v>-0.03535533905932738</x:v>
      </x:c>
      <x:c r="E117" s="17" t="n">
        <x:v>-0.035355339059327376</x:v>
      </x:c>
      <x:c r="F117" s="17" t="n">
        <x:v>0.5</x:v>
      </x:c>
      <x:c r="G117" s="17" t="n">
        <x:v>3.5400247573563712</x:v>
      </x:c>
      <x:c r="H117" s="17" t="n">
        <x:v>3.5400247573563712</x:v>
      </x:c>
      <x:c r="I117" s="17" t="n">
        <x:v>1.1833312633920487</x:v>
      </x:c>
      <x:c r="J117" s="17" t="n">
        <x:v>1.96564417405721</x:v>
      </x:c>
      <x:c r="K117" s="17" t="n">
        <x:v>-1.246185794992907</x:v>
      </x:c>
      <x:c r="L117" s="17" t="n">
        <x:v>-1.88012850016984</x:v>
      </x:c>
      <x:c r="M117" s="17" t="n">
        <x:v>-1.276750394503703</x:v>
      </x:c>
      <x:c r="N117" s="17" t="n">
        <x:v>336.04464466094106</x:v>
      </x:c>
      <x:c r="O117" s="17" t="n">
        <x:v>191.99464466094076</x:v>
      </x:c>
      <x:c r="P117" s="17" t="n">
        <x:v>-79.50000000000009</x:v>
      </x:c>
      <x:c r="Q117" s="17" t="n">
        <x:f>P117-$P$5</x:f>
        <x:v>0.49999999999991473</x:v>
      </x:c>
      <x:c r="R117" s="2" t="str">
        <x:v>平行工件XY</x:v>
      </x:c>
    </x:row>
    <x:row r="118" ht="24" customHeight="1">
      <x:c r="A118" s="24" t="n">
        <x:v>111</x:v>
      </x:c>
      <x:c r="B118" s="2" t="str">
        <x:v>S009</x:v>
      </x:c>
      <x:c r="C118" s="2" t="str">
        <x:v>加严工况</x:v>
      </x:c>
      <x:c r="D118" s="17" t="n">
        <x:v>0.03535533905932737</x:v>
      </x:c>
      <x:c r="E118" s="17" t="n">
        <x:v>-0.03535533905932738</x:v>
      </x:c>
      <x:c r="F118" s="17" t="n">
        <x:v>1</x:v>
      </x:c>
      <x:c r="G118" s="17" t="n">
        <x:v>-3.540024757356371</x:v>
      </x:c>
      <x:c r="H118" s="17" t="n">
        <x:v>3.5400247573563712</x:v>
      </x:c>
      <x:c r="I118" s="17" t="n">
        <x:v>1.2004018233195493</x:v>
      </x:c>
      <x:c r="J118" s="17" t="n">
        <x:v>-1.9908600445541556</x:v>
      </x:c>
      <x:c r="K118" s="17" t="n">
        <x:v>-1.2767146718595797</x:v>
      </x:c>
      <x:c r="L118" s="17" t="n">
        <x:v>1.9205328144627036</x:v>
      </x:c>
      <x:c r="M118" s="17" t="n">
        <x:v>-2.4963663250169685</x:v>
      </x:c>
      <x:c r="N118" s="17" t="n">
        <x:v>336.1153553390595</x:v>
      </x:c>
      <x:c r="O118" s="17" t="n">
        <x:v>191.9946446609407</x:v>
      </x:c>
      <x:c r="P118" s="17" t="n">
        <x:v>-78.99999999999997</x:v>
      </x:c>
      <x:c r="Q118" s="17" t="n">
        <x:f>P118-$P$5</x:f>
        <x:v>1.0000000000000284</x:v>
      </x:c>
      <x:c r="R118" s="2" t="str">
        <x:v>平行工件XY</x:v>
      </x:c>
    </x:row>
    <x:row r="119" ht="24" customHeight="1">
      <x:c r="A119" s="24" t="n">
        <x:v>112</x:v>
      </x:c>
      <x:c r="B119" s="2" t="str">
        <x:v>S010</x:v>
      </x:c>
      <x:c r="C119" s="2" t="str">
        <x:v>加严工况</x:v>
      </x:c>
      <x:c r="D119" s="17" t="n">
        <x:v>-0.03535533905932738</x:v>
      </x:c>
      <x:c r="E119" s="17" t="n">
        <x:v>-0.035355339059327376</x:v>
      </x:c>
      <x:c r="F119" s="17" t="n">
        <x:v>1</x:v>
      </x:c>
      <x:c r="G119" s="17" t="n">
        <x:v>3.5400247573563712</x:v>
      </x:c>
      <x:c r="H119" s="17" t="n">
        <x:v>3.5400247573563712</x:v>
      </x:c>
      <x:c r="I119" s="17" t="n">
        <x:v>1.2004018233195375</x:v>
      </x:c>
      <x:c r="J119" s="17" t="n">
        <x:v>1.9908600445541347</x:v>
      </x:c>
      <x:c r="K119" s="17" t="n">
        <x:v>-1.2767146718595448</x:v>
      </x:c>
      <x:c r="L119" s="17" t="n">
        <x:v>-1.9205328144626714</x:v>
      </x:c>
      <x:c r="M119" s="17" t="n">
        <x:v>-2.4963663250167665</x:v>
      </x:c>
      <x:c r="N119" s="17" t="n">
        <x:v>336.0446446609409</x:v>
      </x:c>
      <x:c r="O119" s="17" t="n">
        <x:v>191.99464466094076</x:v>
      </x:c>
      <x:c r="P119" s="17" t="n">
        <x:v>-79.00000000000003</x:v>
      </x:c>
      <x:c r="Q119" s="17" t="n">
        <x:f>P119-$P$5</x:f>
        <x:v>0.9999999999999716</x:v>
      </x:c>
      <x:c r="R119" s="2" t="str">
        <x:v>平行工件XY</x:v>
      </x:c>
    </x:row>
    <x:row r="120" ht="24" customHeight="1">
      <x:c r="A120" s="24" t="n">
        <x:v>113</x:v>
      </x:c>
      <x:c r="B120" s="2" t="str">
        <x:v>S011</x:v>
      </x:c>
      <x:c r="C120" s="2" t="str">
        <x:v>加严工况</x:v>
      </x:c>
      <x:c r="D120" s="17" t="n">
        <x:v>0</x:v>
      </x:c>
      <x:c r="E120" s="17" t="n">
        <x:v>0</x:v>
      </x:c>
      <x:c r="F120" s="17" t="n">
        <x:v>0.5</x:v>
      </x:c>
      <x:c r="G120" s="17" t="n">
        <x:v>0</x:v>
      </x:c>
      <x:c r="H120" s="17" t="n">
        <x:v>0</x:v>
      </x:c>
      <x:c r="I120" s="17" t="n">
        <x:v>8.374309781246309e-15</x:v>
      </x:c>
      <x:c r="J120" s="17" t="n">
        <x:v>1.4797371773979048e-15</x:v>
      </x:c>
      <x:c r="K120" s="17" t="n">
        <x:v>4.722654762903462e-16</x:v>
      </x:c>
      <x:c r="L120" s="17" t="n">
        <x:v>-5.9266727898027414e-15</x:v>
      </x:c>
      <x:c r="M120" s="17" t="n">
        <x:v>-1.2755958863987311</x:v>
      </x:c>
      <x:c r="N120" s="17" t="n">
        <x:v>336.0800000000004</x:v>
      </x:c>
      <x:c r="O120" s="17" t="n">
        <x:v>192.03000000000006</x:v>
      </x:c>
      <x:c r="P120" s="17" t="n">
        <x:v>-79.50000000000009</x:v>
      </x:c>
      <x:c r="Q120" s="17" t="n">
        <x:f>P120-$P$5</x:f>
        <x:v>0.49999999999991473</x:v>
      </x:c>
      <x:c r="R120" s="2" t="str">
        <x:v>平行工件XY</x:v>
      </x:c>
    </x:row>
    <x:row r="121" ht="24" customHeight="1">
      <x:c r="A121" s="24" t="n">
        <x:v>114</x:v>
      </x:c>
      <x:c r="B121" s="2" t="str">
        <x:v>S012</x:v>
      </x:c>
      <x:c r="C121" s="2" t="str">
        <x:v>加严工况</x:v>
      </x:c>
      <x:c r="D121" s="17" t="n">
        <x:v>0</x:v>
      </x:c>
      <x:c r="E121" s="17" t="n">
        <x:v>0</x:v>
      </x:c>
      <x:c r="F121" s="17" t="n">
        <x:v>1</x:v>
      </x:c>
      <x:c r="G121" s="17" t="n">
        <x:v>0</x:v>
      </x:c>
      <x:c r="H121" s="17" t="n">
        <x:v>0</x:v>
      </x:c>
      <x:c r="I121" s="17" t="n">
        <x:v>5.985528891914228e-15</x:v>
      </x:c>
      <x:c r="J121" s="17" t="n">
        <x:v>2.4259282818593375e-14</x:v>
      </x:c>
      <x:c r="K121" s="17" t="n">
        <x:v>-8.031715464394058e-15</x:v>
      </x:c>
      <x:c r="L121" s="17" t="n">
        <x:v>-2.966029966371548e-14</x:v>
      </x:c>
      <x:c r="M121" s="17" t="n">
        <x:v>-2.495441028335984</x:v>
      </x:c>
      <x:c r="N121" s="17" t="n">
        <x:v>336.0800000000004</x:v>
      </x:c>
      <x:c r="O121" s="17" t="n">
        <x:v>192.03000000000006</x:v>
      </x:c>
      <x:c r="P121" s="17" t="n">
        <x:v>-79.00000000000009</x:v>
      </x:c>
      <x:c r="Q121" s="17" t="n">
        <x:f>P121-$P$5</x:f>
        <x:v>0.9999999999999147</x:v>
      </x:c>
      <x:c r="R121" s="2" t="str">
        <x:v>平行工件XY</x:v>
      </x:c>
    </x:row>
    <x:row r="122" ht="24" customHeight="1">
      <x:c r="A122" s="24" t="n">
        <x:v>115</x:v>
      </x:c>
      <x:c r="B122" s="2" t="str">
        <x:v>S013</x:v>
      </x:c>
      <x:c r="C122" s="2" t="str">
        <x:v>加严工况</x:v>
      </x:c>
      <x:c r="D122" s="17" t="n">
        <x:v>0.05</x:v>
      </x:c>
      <x:c r="E122" s="17" t="n">
        <x:v>0</x:v>
      </x:c>
      <x:c r="F122" s="17" t="n">
        <x:v>-1</x:v>
      </x:c>
      <x:c r="G122" s="17" t="n">
        <x:v>5</x:v>
      </x:c>
      <x:c r="H122" s="17" t="n">
        <x:v>0</x:v>
      </x:c>
      <x:c r="I122" s="17" t="n">
        <x:v>-0.108390213719836</x:v>
      </x:c>
      <x:c r="J122" s="17" t="n">
        <x:v>2.455642250606547</x:v>
      </x:c>
      <x:c r="K122" s="17" t="n">
        <x:v>0.002619058753060519</x:v>
      </x:c>
      <x:c r="L122" s="17" t="n">
        <x:v>-2.4446302340631627</x:v>
      </x:c>
      <x:c r="M122" s="17" t="n">
        <x:v>2.8486339311844655</x:v>
      </x:c>
      <x:c r="N122" s="17" t="n">
        <x:v>336.13000000000034</x:v>
      </x:c>
      <x:c r="O122" s="17" t="n">
        <x:v>192.03000000000011</x:v>
      </x:c>
      <x:c r="P122" s="17" t="n">
        <x:v>-81.00000000000009</x:v>
      </x:c>
      <x:c r="Q122" s="17" t="n">
        <x:f>P122-$P$5</x:f>
        <x:v>-1.0000000000000853</x:v>
      </x:c>
      <x:c r="R122" s="2" t="str">
        <x:v>平行工件XY</x:v>
      </x:c>
    </x:row>
    <x:row r="123" ht="24" customHeight="1">
      <x:c r="A123" s="24" t="n">
        <x:v>116</x:v>
      </x:c>
      <x:c r="B123" s="2" t="str">
        <x:v>S014</x:v>
      </x:c>
      <x:c r="C123" s="2" t="str">
        <x:v>加严工况</x:v>
      </x:c>
      <x:c r="D123" s="17" t="n">
        <x:v>0.05</x:v>
      </x:c>
      <x:c r="E123" s="17" t="n">
        <x:v>0</x:v>
      </x:c>
      <x:c r="F123" s="17" t="n">
        <x:v>-1</x:v>
      </x:c>
      <x:c r="G123" s="17" t="n">
        <x:v>3.0694125943937005e-16</x:v>
      </x:c>
      <x:c r="H123" s="17" t="n">
        <x:v>5</x:v>
      </x:c>
      <x:c r="I123" s="17" t="n">
        <x:v>1.7109082248450194</x:v>
      </x:c>
      <x:c r="J123" s="17" t="n">
        <x:v>0.0382022807143514</x:v>
      </x:c>
      <x:c r="K123" s="17" t="n">
        <x:v>-1.6774711098822725</x:v>
      </x:c>
      <x:c r="L123" s="17" t="n">
        <x:v>-0.06283109185437254</x:v>
      </x:c>
      <x:c r="M123" s="17" t="n">
        <x:v>2.8430326450308065</x:v>
      </x:c>
      <x:c r="N123" s="17" t="n">
        <x:v>336.1300000000004</x:v>
      </x:c>
      <x:c r="O123" s="17" t="n">
        <x:v>192.03000000000006</x:v>
      </x:c>
      <x:c r="P123" s="17" t="n">
        <x:v>-81</x:v>
      </x:c>
      <x:c r="Q123" s="17" t="n">
        <x:f>P123-$P$5</x:f>
        <x:v>-1</x:v>
      </x:c>
      <x:c r="R123" s="2" t="str">
        <x:v>平行工件XY</x:v>
      </x:c>
    </x:row>
    <x:row r="124" ht="24" customHeight="1">
      <x:c r="A124" s="24" t="n">
        <x:v>117</x:v>
      </x:c>
      <x:c r="B124" s="2" t="str">
        <x:v>S015</x:v>
      </x:c>
      <x:c r="C124" s="2" t="str">
        <x:v>加严工况</x:v>
      </x:c>
      <x:c r="D124" s="17" t="n">
        <x:v>0.05</x:v>
      </x:c>
      <x:c r="E124" s="17" t="n">
        <x:v>0</x:v>
      </x:c>
      <x:c r="F124" s="17" t="n">
        <x:v>-1</x:v>
      </x:c>
      <x:c r="G124" s="17" t="n">
        <x:v>-5</x:v>
      </x:c>
      <x:c r="H124" s="17" t="n">
        <x:v>6.138825188787401e-16</x:v>
      </x:c>
      <x:c r="I124" s="17" t="n">
        <x:v>-0.10079283157379552</x:v>
      </x:c>
      <x:c r="J124" s="17" t="n">
        <x:v>-2.39535714790471</x:v>
      </x:c>
      <x:c r="K124" s="17" t="n">
        <x:v>0.00022875405999510671</x:v>
      </x:c>
      <x:c r="L124" s="17" t="n">
        <x:v>2.3294684126170395</x:v>
      </x:c>
      <x:c r="M124" s="17" t="n">
        <x:v>2.837431989531282</x:v>
      </x:c>
      <x:c r="N124" s="17" t="n">
        <x:v>336.1300000000003</x:v>
      </x:c>
      <x:c r="O124" s="17" t="n">
        <x:v>192.03000000000003</x:v>
      </x:c>
      <x:c r="P124" s="17" t="n">
        <x:v>-81.00000000000009</x:v>
      </x:c>
      <x:c r="Q124" s="17" t="n">
        <x:f>P124-$P$5</x:f>
        <x:v>-1.0000000000000853</x:v>
      </x:c>
      <x:c r="R124" s="2" t="str">
        <x:v>平行工件XY</x:v>
      </x:c>
    </x:row>
    <x:row r="125" ht="24" customHeight="1">
      <x:c r="A125" s="24" t="n">
        <x:v>118</x:v>
      </x:c>
      <x:c r="B125" s="2" t="str">
        <x:v>S016</x:v>
      </x:c>
      <x:c r="C125" s="2" t="str">
        <x:v>加严工况</x:v>
      </x:c>
      <x:c r="D125" s="17" t="n">
        <x:v>0.05</x:v>
      </x:c>
      <x:c r="E125" s="17" t="n">
        <x:v>0</x:v>
      </x:c>
      <x:c r="F125" s="17" t="n">
        <x:v>-1</x:v>
      </x:c>
      <x:c r="G125" s="17" t="n">
        <x:v>-9.2082377831811e-16</x:v>
      </x:c>
      <x:c r="H125" s="17" t="n">
        <x:v>-5</x:v>
      </x:c>
      <x:c r="I125" s="17" t="n">
        <x:v>-1.7109790834062604</x:v>
      </x:c>
      <x:c r="J125" s="17" t="n">
        <x:v>0.025515086459452795</x:v>
      </x:c>
      <x:c r="K125" s="17" t="n">
        <x:v>1.677518888595535</x:v>
      </x:c>
      <x:c r="L125" s="17" t="n">
        <x:v>-0.05410619573492637</x:v>
      </x:c>
      <x:c r="M125" s="17" t="n">
        <x:v>2.8430326474203507</x:v>
      </x:c>
      <x:c r="N125" s="17" t="n">
        <x:v>336.13000000000034</x:v>
      </x:c>
      <x:c r="O125" s="17" t="n">
        <x:v>192.02999999999997</x:v>
      </x:c>
      <x:c r="P125" s="17" t="n">
        <x:v>-81.00000000000009</x:v>
      </x:c>
      <x:c r="Q125" s="17" t="n">
        <x:f>P125-$P$5</x:f>
        <x:v>-1.0000000000000853</x:v>
      </x:c>
      <x:c r="R125" s="2" t="str">
        <x:v>平行工件XY</x:v>
      </x:c>
    </x:row>
    <x:row r="126" ht="24" customHeight="1">
      <x:c r="A126" s="24" t="n">
        <x:v>119</x:v>
      </x:c>
      <x:c r="B126" s="2" t="str">
        <x:v>S017</x:v>
      </x:c>
      <x:c r="C126" s="2" t="str">
        <x:v>加严工况</x:v>
      </x:c>
      <x:c r="D126" s="17" t="n">
        <x:v>3.061616997868383e-18</x:v>
      </x:c>
      <x:c r="E126" s="17" t="n">
        <x:v>0.05</x:v>
      </x:c>
      <x:c r="F126" s="17" t="n">
        <x:v>-1</x:v>
      </x:c>
      <x:c r="G126" s="17" t="n">
        <x:v>5</x:v>
      </x:c>
      <x:c r="H126" s="17" t="n">
        <x:v>0</x:v>
      </x:c>
      <x:c r="I126" s="17" t="n">
        <x:v>-0.07398341206537652</x:v>
      </x:c>
      <x:c r="J126" s="17" t="n">
        <x:v>2.43111149676014</x:v>
      </x:c>
      <x:c r="K126" s="17" t="n">
        <x:v>-0.04873954306564625</x:v>
      </x:c>
      <x:c r="L126" s="17" t="n">
        <x:v>-2.3916846916139236</x:v>
      </x:c>
      <x:c r="M126" s="17" t="n">
        <x:v>2.843031099492513</x:v>
      </x:c>
      <x:c r="N126" s="17" t="n">
        <x:v>336.0800000000004</x:v>
      </x:c>
      <x:c r="O126" s="17" t="n">
        <x:v>192.08000000000004</x:v>
      </x:c>
      <x:c r="P126" s="17" t="n">
        <x:v>-81.00000000000009</x:v>
      </x:c>
      <x:c r="Q126" s="17" t="n">
        <x:f>P126-$P$5</x:f>
        <x:v>-1.0000000000000853</x:v>
      </x:c>
      <x:c r="R126" s="2" t="str">
        <x:v>平行工件XY</x:v>
      </x:c>
    </x:row>
    <x:row r="127" ht="24" customHeight="1">
      <x:c r="A127" s="24" t="n">
        <x:v>120</x:v>
      </x:c>
      <x:c r="B127" s="2" t="str">
        <x:v>S018</x:v>
      </x:c>
      <x:c r="C127" s="2" t="str">
        <x:v>加严工况</x:v>
      </x:c>
      <x:c r="D127" s="17" t="n">
        <x:v>3.061616997868383e-18</x:v>
      </x:c>
      <x:c r="E127" s="17" t="n">
        <x:v>0.05</x:v>
      </x:c>
      <x:c r="F127" s="17" t="n">
        <x:v>-1</x:v>
      </x:c>
      <x:c r="G127" s="17" t="n">
        <x:v>3.0694125943937005e-16</x:v>
      </x:c>
      <x:c r="H127" s="17" t="n">
        <x:v>5</x:v>
      </x:c>
      <x:c r="I127" s="17" t="n">
        <x:v>1.7418874405054598</x:v>
      </x:c>
      <x:c r="J127" s="17" t="n">
        <x:v>9.342894651075844e-15</x:v>
      </x:c>
      <x:c r="K127" s="17" t="n">
        <x:v>-1.7275275018989664</x:v>
      </x:c>
      <x:c r="L127" s="17" t="n">
        <x:v>-1.6584262411581292e-14</x:v>
      </x:c>
      <x:c r="M127" s="17" t="n">
        <x:v>2.8486342555961004</x:v>
      </x:c>
      <x:c r="N127" s="17" t="n">
        <x:v>336.0800000000004</x:v>
      </x:c>
      <x:c r="O127" s="17" t="n">
        <x:v>192.08000000000004</x:v>
      </x:c>
      <x:c r="P127" s="17" t="n">
        <x:v>-81.00000000000009</x:v>
      </x:c>
      <x:c r="Q127" s="17" t="n">
        <x:f>P127-$P$5</x:f>
        <x:v>-1.0000000000000853</x:v>
      </x:c>
      <x:c r="R127" s="2" t="str">
        <x:v>平行工件XY</x:v>
      </x:c>
    </x:row>
    <x:row r="128" ht="24" customHeight="1">
      <x:c r="A128" s="24" t="n">
        <x:v>121</x:v>
      </x:c>
      <x:c r="B128" s="2" t="str">
        <x:v>S019</x:v>
      </x:c>
      <x:c r="C128" s="2" t="str">
        <x:v>加严工况</x:v>
      </x:c>
      <x:c r="D128" s="17" t="n">
        <x:v>3.061616997868383e-18</x:v>
      </x:c>
      <x:c r="E128" s="17" t="n">
        <x:v>0.05</x:v>
      </x:c>
      <x:c r="F128" s="17" t="n">
        <x:v>-1</x:v>
      </x:c>
      <x:c r="G128" s="17" t="n">
        <x:v>-5</x:v>
      </x:c>
      <x:c r="H128" s="17" t="n">
        <x:v>6.138825188787401e-16</x:v>
      </x:c>
      <x:c r="I128" s="17" t="n">
        <x:v>-0.07398341206534932</x:v>
      </x:c>
      <x:c r="J128" s="17" t="n">
        <x:v>-2.4311114967601006</x:v>
      </x:c>
      <x:c r="K128" s="17" t="n">
        <x:v>-0.04873954306564091</x:v>
      </x:c>
      <x:c r="L128" s="17" t="n">
        <x:v>2.3916846916138352</x:v>
      </x:c>
      <x:c r="M128" s="17" t="n">
        <x:v>2.843031099492505</x:v>
      </x:c>
      <x:c r="N128" s="17" t="n">
        <x:v>336.0800000000004</x:v>
      </x:c>
      <x:c r="O128" s="17" t="n">
        <x:v>192.0800000000001</x:v>
      </x:c>
      <x:c r="P128" s="17" t="n">
        <x:v>-81.00000000000009</x:v>
      </x:c>
      <x:c r="Q128" s="17" t="n">
        <x:f>P128-$P$5</x:f>
        <x:v>-1.0000000000000853</x:v>
      </x:c>
      <x:c r="R128" s="2" t="str">
        <x:v>平行工件XY</x:v>
      </x:c>
    </x:row>
    <x:row r="129" ht="24" customHeight="1">
      <x:c r="A129" s="24" t="n">
        <x:v>122</x:v>
      </x:c>
      <x:c r="B129" s="2" t="str">
        <x:v>S020</x:v>
      </x:c>
      <x:c r="C129" s="2" t="str">
        <x:v>加严工况</x:v>
      </x:c>
      <x:c r="D129" s="17" t="n">
        <x:v>3.061616997868383e-18</x:v>
      </x:c>
      <x:c r="E129" s="17" t="n">
        <x:v>0.05</x:v>
      </x:c>
      <x:c r="F129" s="17" t="n">
        <x:v>-1</x:v>
      </x:c>
      <x:c r="G129" s="17" t="n">
        <x:v>-9.2082377831811e-16</x:v>
      </x:c>
      <x:c r="H129" s="17" t="n">
        <x:v>-5</x:v>
      </x:c>
      <x:c r="I129" s="17" t="n">
        <x:v>-1.6800052721739234</x:v>
      </x:c>
      <x:c r="J129" s="17" t="n">
        <x:v>-4.0347871091998757e-13</x:v>
      </x:c>
      <x:c r="K129" s="17" t="n">
        <x:v>1.627454968730046</x:v>
      </x:c>
      <x:c r="L129" s="17" t="n">
        <x:v>6.778566186279537e-13</x:v>
      </x:c>
      <x:c r="M129" s="17" t="n">
        <x:v>2.837434414663709</x:v>
      </x:c>
      <x:c r="N129" s="17" t="n">
        <x:v>336.0800000000003</x:v>
      </x:c>
      <x:c r="O129" s="17" t="n">
        <x:v>192.08</x:v>
      </x:c>
      <x:c r="P129" s="17" t="n">
        <x:v>-81.00000000000009</x:v>
      </x:c>
      <x:c r="Q129" s="17" t="n">
        <x:f>P129-$P$5</x:f>
        <x:v>-1.0000000000000853</x:v>
      </x:c>
      <x:c r="R129" s="2" t="str">
        <x:v>平行工件XY</x:v>
      </x:c>
    </x:row>
    <x:row r="130" ht="24" customHeight="1">
      <x:c r="A130" s="24" t="n">
        <x:v>123</x:v>
      </x:c>
      <x:c r="B130" s="2" t="str">
        <x:v>S021</x:v>
      </x:c>
      <x:c r="C130" s="2" t="str">
        <x:v>加严工况</x:v>
      </x:c>
      <x:c r="D130" s="17" t="n">
        <x:v>-0.05</x:v>
      </x:c>
      <x:c r="E130" s="17" t="n">
        <x:v>6.123233995736766e-18</x:v>
      </x:c>
      <x:c r="F130" s="17" t="n">
        <x:v>-1</x:v>
      </x:c>
      <x:c r="G130" s="17" t="n">
        <x:v>5</x:v>
      </x:c>
      <x:c r="H130" s="17" t="n">
        <x:v>0</x:v>
      </x:c>
      <x:c r="I130" s="17" t="n">
        <x:v>-0.10079283157381792</x:v>
      </x:c>
      <x:c r="J130" s="17" t="n">
        <x:v>2.395357147904721</x:v>
      </x:c>
      <x:c r="K130" s="17" t="n">
        <x:v>0.0002287540600520674</x:v>
      </x:c>
      <x:c r="L130" s="17" t="n">
        <x:v>-2.329468412617055</x:v>
      </x:c>
      <x:c r="M130" s="17" t="n">
        <x:v>2.837431989531826</x:v>
      </x:c>
      <x:c r="N130" s="17" t="n">
        <x:v>336.0300000000003</x:v>
      </x:c>
      <x:c r="O130" s="17" t="n">
        <x:v>192.03000000000003</x:v>
      </x:c>
      <x:c r="P130" s="17" t="n">
        <x:v>-81.00000000000009</x:v>
      </x:c>
      <x:c r="Q130" s="17" t="n">
        <x:f>P130-$P$5</x:f>
        <x:v>-1.0000000000000853</x:v>
      </x:c>
      <x:c r="R130" s="2" t="str">
        <x:v>平行工件XY</x:v>
      </x:c>
    </x:row>
    <x:row r="131" ht="24" customHeight="1">
      <x:c r="A131" s="24" t="n">
        <x:v>124</x:v>
      </x:c>
      <x:c r="B131" s="2" t="str">
        <x:v>S022</x:v>
      </x:c>
      <x:c r="C131" s="2" t="str">
        <x:v>加严工况</x:v>
      </x:c>
      <x:c r="D131" s="17" t="n">
        <x:v>-0.05</x:v>
      </x:c>
      <x:c r="E131" s="17" t="n">
        <x:v>6.123233995736766e-18</x:v>
      </x:c>
      <x:c r="F131" s="17" t="n">
        <x:v>-1</x:v>
      </x:c>
      <x:c r="G131" s="17" t="n">
        <x:v>3.0694125943937005e-16</x:v>
      </x:c>
      <x:c r="H131" s="17" t="n">
        <x:v>5</x:v>
      </x:c>
      <x:c r="I131" s="17" t="n">
        <x:v>1.710908224845019</x:v>
      </x:c>
      <x:c r="J131" s="17" t="n">
        <x:v>-0.038202280714289674</x:v>
      </x:c>
      <x:c r="K131" s="17" t="n">
        <x:v>-1.6774711098822876</x:v>
      </x:c>
      <x:c r="L131" s="17" t="n">
        <x:v>0.06283109185428268</x:v>
      </x:c>
      <x:c r="M131" s="17" t="n">
        <x:v>2.8430326450304393</x:v>
      </x:c>
      <x:c r="N131" s="17" t="n">
        <x:v>336.0300000000002</x:v>
      </x:c>
      <x:c r="O131" s="17" t="n">
        <x:v>192.03000000000006</x:v>
      </x:c>
      <x:c r="P131" s="17" t="n">
        <x:v>-81.00000000000009</x:v>
      </x:c>
      <x:c r="Q131" s="17" t="n">
        <x:f>P131-$P$5</x:f>
        <x:v>-1.0000000000000853</x:v>
      </x:c>
      <x:c r="R131" s="2" t="str">
        <x:v>平行工件XY</x:v>
      </x:c>
    </x:row>
    <x:row r="132" ht="24" customHeight="1">
      <x:c r="A132" s="24" t="n">
        <x:v>125</x:v>
      </x:c>
      <x:c r="B132" s="2" t="str">
        <x:v>S023</x:v>
      </x:c>
      <x:c r="C132" s="2" t="str">
        <x:v>加严工况</x:v>
      </x:c>
      <x:c r="D132" s="17" t="n">
        <x:v>-0.05</x:v>
      </x:c>
      <x:c r="E132" s="17" t="n">
        <x:v>6.123233995736766e-18</x:v>
      </x:c>
      <x:c r="F132" s="17" t="n">
        <x:v>-1</x:v>
      </x:c>
      <x:c r="G132" s="17" t="n">
        <x:v>-5</x:v>
      </x:c>
      <x:c r="H132" s="17" t="n">
        <x:v>6.138825188787401e-16</x:v>
      </x:c>
      <x:c r="I132" s="17" t="n">
        <x:v>-0.10839021371992928</x:v>
      </x:c>
      <x:c r="J132" s="17" t="n">
        <x:v>-2.4556422506076263</x:v>
      </x:c>
      <x:c r="K132" s="17" t="n">
        <x:v>0.002619058753057989</x:v>
      </x:c>
      <x:c r="L132" s="17" t="n">
        <x:v>2.4446302340647295</x:v>
      </x:c>
      <x:c r="M132" s="17" t="n">
        <x:v>2.8486339312323516</x:v>
      </x:c>
      <x:c r="N132" s="17" t="n">
        <x:v>336.03000000000037</x:v>
      </x:c>
      <x:c r="O132" s="17" t="n">
        <x:v>192.0300000000001</x:v>
      </x:c>
      <x:c r="P132" s="17" t="n">
        <x:v>-81.00000000000009</x:v>
      </x:c>
      <x:c r="Q132" s="17" t="n">
        <x:f>P132-$P$5</x:f>
        <x:v>-1.0000000000000853</x:v>
      </x:c>
      <x:c r="R132" s="2" t="str">
        <x:v>平行工件XY</x:v>
      </x:c>
    </x:row>
    <x:row r="133" ht="24" customHeight="1">
      <x:c r="A133" s="24" t="n">
        <x:v>126</x:v>
      </x:c>
      <x:c r="B133" s="2" t="str">
        <x:v>S024</x:v>
      </x:c>
      <x:c r="C133" s="2" t="str">
        <x:v>加严工况</x:v>
      </x:c>
      <x:c r="D133" s="17" t="n">
        <x:v>-0.05</x:v>
      </x:c>
      <x:c r="E133" s="17" t="n">
        <x:v>6.123233995736766e-18</x:v>
      </x:c>
      <x:c r="F133" s="17" t="n">
        <x:v>-1</x:v>
      </x:c>
      <x:c r="G133" s="17" t="n">
        <x:v>-9.2082377831811e-16</x:v>
      </x:c>
      <x:c r="H133" s="17" t="n">
        <x:v>-5</x:v>
      </x:c>
      <x:c r="I133" s="17" t="n">
        <x:v>-1.7109790834062046</x:v>
      </x:c>
      <x:c r="J133" s="17" t="n">
        <x:v>-0.025515086460217648</x:v>
      </x:c>
      <x:c r="K133" s="17" t="n">
        <x:v>1.6775188885954826</x:v>
      </x:c>
      <x:c r="L133" s="17" t="n">
        <x:v>0.05410619573622302</x:v>
      </x:c>
      <x:c r="M133" s="17" t="n">
        <x:v>2.8430326474202823</x:v>
      </x:c>
      <x:c r="N133" s="17" t="n">
        <x:v>336.03000000000037</x:v>
      </x:c>
      <x:c r="O133" s="17" t="n">
        <x:v>192.03000000000006</x:v>
      </x:c>
      <x:c r="P133" s="17" t="n">
        <x:v>-81.00000000000009</x:v>
      </x:c>
      <x:c r="Q133" s="17" t="n">
        <x:f>P133-$P$5</x:f>
        <x:v>-1.0000000000000853</x:v>
      </x:c>
      <x:c r="R133" s="2" t="str">
        <x:v>平行工件XY</x:v>
      </x:c>
    </x:row>
    <x:row r="134" ht="24" customHeight="1">
      <x:c r="A134" s="24" t="n">
        <x:v>127</x:v>
      </x:c>
      <x:c r="B134" s="2" t="str">
        <x:v>S025</x:v>
      </x:c>
      <x:c r="C134" s="2" t="str">
        <x:v>加严工况</x:v>
      </x:c>
      <x:c r="D134" s="17" t="n">
        <x:v>-9.184850993605149e-18</x:v>
      </x:c>
      <x:c r="E134" s="17" t="n">
        <x:v>-0.05</x:v>
      </x:c>
      <x:c r="F134" s="17" t="n">
        <x:v>-1</x:v>
      </x:c>
      <x:c r="G134" s="17" t="n">
        <x:v>5</x:v>
      </x:c>
      <x:c r="H134" s="17" t="n">
        <x:v>0</x:v>
      </x:c>
      <x:c r="I134" s="17" t="n">
        <x:v>-0.1351340658477571</x:v>
      </x:c>
      <x:c r="J134" s="17" t="n">
        <x:v>2.419956430147616</x:v>
      </x:c>
      <x:c r="K134" s="17" t="n">
        <x:v>0.051535868277670635</x:v>
      </x:c>
      <x:c r="L134" s="17" t="n">
        <x:v>-2.382464284797397</x:v>
      </x:c>
      <x:c r="M134" s="17" t="n">
        <x:v>2.8430313434522545</x:v>
      </x:c>
      <x:c r="N134" s="17" t="n">
        <x:v>336.0800000000004</x:v>
      </x:c>
      <x:c r="O134" s="17" t="n">
        <x:v>191.98000000000013</x:v>
      </x:c>
      <x:c r="P134" s="17" t="n">
        <x:v>-81.00000000000009</x:v>
      </x:c>
      <x:c r="Q134" s="17" t="n">
        <x:f>P134-$P$5</x:f>
        <x:v>-1.0000000000000853</x:v>
      </x:c>
      <x:c r="R134" s="2" t="str">
        <x:v>平行工件XY</x:v>
      </x:c>
    </x:row>
    <x:row r="135" ht="24" customHeight="1">
      <x:c r="A135" s="24" t="n">
        <x:v>128</x:v>
      </x:c>
      <x:c r="B135" s="2" t="str">
        <x:v>S026</x:v>
      </x:c>
      <x:c r="C135" s="2" t="str">
        <x:v>加严工况</x:v>
      </x:c>
      <x:c r="D135" s="17" t="n">
        <x:v>-9.184850993605149e-18</x:v>
      </x:c>
      <x:c r="E135" s="17" t="n">
        <x:v>-0.05</x:v>
      </x:c>
      <x:c r="F135" s="17" t="n">
        <x:v>-1</x:v>
      </x:c>
      <x:c r="G135" s="17" t="n">
        <x:v>3.0694125943937005e-16</x:v>
      </x:c>
      <x:c r="H135" s="17" t="n">
        <x:v>5</x:v>
      </x:c>
      <x:c r="I135" s="17" t="n">
        <x:v>1.6800052721778373</x:v>
      </x:c>
      <x:c r="J135" s="17" t="n">
        <x:v>2.282911065258551e-14</x:v>
      </x:c>
      <x:c r="K135" s="17" t="n">
        <x:v>-1.6274549687341047</x:v>
      </x:c>
      <x:c r="L135" s="17" t="n">
        <x:v>-2.4565960627006878e-14</x:v>
      </x:c>
      <x:c r="M135" s="17" t="n">
        <x:v>2.837434414663327</x:v>
      </x:c>
      <x:c r="N135" s="17" t="n">
        <x:v>336.0800000000003</x:v>
      </x:c>
      <x:c r="O135" s="17" t="n">
        <x:v>191.98000000000008</x:v>
      </x:c>
      <x:c r="P135" s="17" t="n">
        <x:v>-81.00000000000009</x:v>
      </x:c>
      <x:c r="Q135" s="17" t="n">
        <x:f>P135-$P$5</x:f>
        <x:v>-1.0000000000000853</x:v>
      </x:c>
      <x:c r="R135" s="2" t="str">
        <x:v>平行工件XY</x:v>
      </x:c>
    </x:row>
    <x:row r="136" ht="24" customHeight="1">
      <x:c r="A136" s="24" t="n">
        <x:v>129</x:v>
      </x:c>
      <x:c r="B136" s="2" t="str">
        <x:v>S027</x:v>
      </x:c>
      <x:c r="C136" s="2" t="str">
        <x:v>加严工况</x:v>
      </x:c>
      <x:c r="D136" s="17" t="n">
        <x:v>-9.184850993605149e-18</x:v>
      </x:c>
      <x:c r="E136" s="17" t="n">
        <x:v>-0.05</x:v>
      </x:c>
      <x:c r="F136" s="17" t="n">
        <x:v>-1</x:v>
      </x:c>
      <x:c r="G136" s="17" t="n">
        <x:v>-5</x:v>
      </x:c>
      <x:c r="H136" s="17" t="n">
        <x:v>6.138825188787401e-16</x:v>
      </x:c>
      <x:c r="I136" s="17" t="n">
        <x:v>-0.13513406584775386</x:v>
      </x:c>
      <x:c r="J136" s="17" t="n">
        <x:v>-2.4199564301476277</x:v>
      </x:c>
      <x:c r="K136" s="17" t="n">
        <x:v>0.051535868277672335</x:v>
      </x:c>
      <x:c r="L136" s="17" t="n">
        <x:v>2.3824642847974364</x:v>
      </x:c>
      <x:c r="M136" s="17" t="n">
        <x:v>2.843031343451773</x:v>
      </x:c>
      <x:c r="N136" s="17" t="n">
        <x:v>336.08000000000027</x:v>
      </x:c>
      <x:c r="O136" s="17" t="n">
        <x:v>191.98000000000005</x:v>
      </x:c>
      <x:c r="P136" s="17" t="n">
        <x:v>-81.00000000000009</x:v>
      </x:c>
      <x:c r="Q136" s="17" t="n">
        <x:f>P136-$P$5</x:f>
        <x:v>-1.0000000000000853</x:v>
      </x:c>
      <x:c r="R136" s="2" t="str">
        <x:v>平行工件XY</x:v>
      </x:c>
    </x:row>
    <x:row r="137" ht="24" customHeight="1">
      <x:c r="A137" s="24" t="n">
        <x:v>130</x:v>
      </x:c>
      <x:c r="B137" s="2" t="str">
        <x:v>S028</x:v>
      </x:c>
      <x:c r="C137" s="2" t="str">
        <x:v>加严工况</x:v>
      </x:c>
      <x:c r="D137" s="17" t="n">
        <x:v>-9.184850993605149e-18</x:v>
      </x:c>
      <x:c r="E137" s="17" t="n">
        <x:v>-0.05</x:v>
      </x:c>
      <x:c r="F137" s="17" t="n">
        <x:v>-1</x:v>
      </x:c>
      <x:c r="G137" s="17" t="n">
        <x:v>-9.2082377831811e-16</x:v>
      </x:c>
      <x:c r="H137" s="17" t="n">
        <x:v>-5</x:v>
      </x:c>
      <x:c r="I137" s="17" t="n">
        <x:v>-1.7418874405012865</x:v>
      </x:c>
      <x:c r="J137" s="17" t="n">
        <x:v>-3.395972137735224e-13</x:v>
      </x:c>
      <x:c r="K137" s="17" t="n">
        <x:v>1.7275275018946246</x:v>
      </x:c>
      <x:c r="L137" s="17" t="n">
        <x:v>5.773144127821508e-13</x:v>
      </x:c>
      <x:c r="M137" s="17" t="n">
        <x:v>2.848634255595897</x:v>
      </x:c>
      <x:c r="N137" s="17" t="n">
        <x:v>336.08000000000027</x:v>
      </x:c>
      <x:c r="O137" s="17" t="n">
        <x:v>191.98000000000005</x:v>
      </x:c>
      <x:c r="P137" s="17" t="n">
        <x:v>-81.00000000000009</x:v>
      </x:c>
      <x:c r="Q137" s="17" t="n">
        <x:f>P137-$P$5</x:f>
        <x:v>-1.0000000000000853</x:v>
      </x:c>
      <x:c r="R137" s="2" t="str">
        <x:v>平行工件XY</x:v>
      </x:c>
    </x:row>
    <x:row r="138" ht="24" customHeight="1">
      <x:c r="A138" s="24" t="n">
        <x:v>131</x:v>
      </x:c>
      <x:c r="B138" s="2" t="str">
        <x:v>S029</x:v>
      </x:c>
      <x:c r="C138" s="2" t="str">
        <x:v>加严工况</x:v>
      </x:c>
      <x:c r="D138" s="17" t="n">
        <x:v>0.05</x:v>
      </x:c>
      <x:c r="E138" s="17" t="n">
        <x:v>0</x:v>
      </x:c>
      <x:c r="F138" s="17" t="n">
        <x:v>1</x:v>
      </x:c>
      <x:c r="G138" s="17" t="n">
        <x:v>5</x:v>
      </x:c>
      <x:c r="H138" s="17" t="n">
        <x:v>0</x:v>
      </x:c>
      <x:c r="I138" s="17" t="n">
        <x:v>-0.12232607310150667</x:v>
      </x:c>
      <x:c r="J138" s="17" t="n">
        <x:v>2.560750220383429</x:v>
      </x:c>
      <x:c r="K138" s="17" t="n">
        <x:v>0.007282683954784028</x:v>
      </x:c>
      <x:c r="L138" s="17" t="n">
        <x:v>-2.645850725479441</x:v>
      </x:c>
      <x:c r="M138" s="17" t="n">
        <x:v>-2.4851831576112384</x:v>
      </x:c>
      <x:c r="N138" s="17" t="n">
        <x:v>336.13000000000034</x:v>
      </x:c>
      <x:c r="O138" s="17" t="n">
        <x:v>192.03000000000003</x:v>
      </x:c>
      <x:c r="P138" s="17" t="n">
        <x:v>-79.00000000000009</x:v>
      </x:c>
      <x:c r="Q138" s="17" t="n">
        <x:f>P138-$P$5</x:f>
        <x:v>0.9999999999999147</x:v>
      </x:c>
      <x:c r="R138" s="2" t="str">
        <x:v>平行工件XY</x:v>
      </x:c>
    </x:row>
    <x:row r="139" ht="24" customHeight="1">
      <x:c r="A139" s="24" t="n">
        <x:v>132</x:v>
      </x:c>
      <x:c r="B139" s="2" t="str">
        <x:v>S030</x:v>
      </x:c>
      <x:c r="C139" s="2" t="str">
        <x:v>加严工况</x:v>
      </x:c>
      <x:c r="D139" s="17" t="n">
        <x:v>0.05</x:v>
      </x:c>
      <x:c r="E139" s="17" t="n">
        <x:v>0</x:v>
      </x:c>
      <x:c r="F139" s="17" t="n">
        <x:v>1</x:v>
      </x:c>
      <x:c r="G139" s="17" t="n">
        <x:v>3.0694125943937005e-16</x:v>
      </x:c>
      <x:c r="H139" s="17" t="n">
        <x:v>5</x:v>
      </x:c>
      <x:c r="I139" s="17" t="n">
        <x:v>1.8191432059695993</x:v>
      </x:c>
      <x:c r="J139" s="17" t="n">
        <x:v>0.03867075059831845</x:v>
      </x:c>
      <x:c r="K139" s="17" t="n">
        <x:v>-1.8525167931130337</x:v>
      </x:c>
      <x:c r="L139" s="17" t="n">
        <x:v>-0.06326047196470218</x:v>
      </x:c>
      <x:c r="M139" s="17" t="n">
        <x:v>-2.4907761462607394</x:v>
      </x:c>
      <x:c r="N139" s="17" t="n">
        <x:v>336.1300000000004</x:v>
      </x:c>
      <x:c r="O139" s="17" t="n">
        <x:v>192.03000000000006</x:v>
      </x:c>
      <x:c r="P139" s="17" t="n">
        <x:v>-79.00000000000009</x:v>
      </x:c>
      <x:c r="Q139" s="17" t="n">
        <x:f>P139-$P$5</x:f>
        <x:v>0.9999999999999147</x:v>
      </x:c>
      <x:c r="R139" s="2" t="str">
        <x:v>平行工件XY</x:v>
      </x:c>
    </x:row>
    <x:row r="140" ht="24" customHeight="1">
      <x:c r="A140" s="24" t="n">
        <x:v>133</x:v>
      </x:c>
      <x:c r="B140" s="2" t="str">
        <x:v>S031</x:v>
      </x:c>
      <x:c r="C140" s="2" t="str">
        <x:v>加严工况</x:v>
      </x:c>
      <x:c r="D140" s="17" t="n">
        <x:v>0.05</x:v>
      </x:c>
      <x:c r="E140" s="17" t="n">
        <x:v>0</x:v>
      </x:c>
      <x:c r="F140" s="17" t="n">
        <x:v>1</x:v>
      </x:c>
      <x:c r="G140" s="17" t="n">
        <x:v>-5</x:v>
      </x:c>
      <x:c r="H140" s="17" t="n">
        <x:v>6.138825188787401e-16</x:v>
      </x:c>
      <x:c r="I140" s="17" t="n">
        <x:v>-0.11426179427993557</x:v>
      </x:c>
      <x:c r="J140" s="17" t="n">
        <x:v>-2.500739895628259</x:v>
      </x:c>
      <x:c r="K140" s="17" t="n">
        <x:v>0.004542417721484847</x:v>
      </x:c>
      <x:c r="L140" s="17" t="n">
        <x:v>2.5308973504737833</x:v>
      </x:c>
      <x:c r="M140" s="17" t="n">
        <x:v>-2.4963624271249043</x:v>
      </x:c>
      <x:c r="N140" s="17" t="n">
        <x:v>336.1300000000003</x:v>
      </x:c>
      <x:c r="O140" s="17" t="n">
        <x:v>192.03000000000003</x:v>
      </x:c>
      <x:c r="P140" s="17" t="n">
        <x:v>-79.00000000000009</x:v>
      </x:c>
      <x:c r="Q140" s="17" t="n">
        <x:f>P140-$P$5</x:f>
        <x:v>0.9999999999999147</x:v>
      </x:c>
      <x:c r="R140" s="2" t="str">
        <x:v>平行工件XY</x:v>
      </x:c>
    </x:row>
    <x:row r="141" ht="24" customHeight="1">
      <x:c r="A141" s="24" t="n">
        <x:v>134</x:v>
      </x:c>
      <x:c r="B141" s="2" t="str">
        <x:v>S032</x:v>
      </x:c>
      <x:c r="C141" s="2" t="str">
        <x:v>加严工况</x:v>
      </x:c>
      <x:c r="D141" s="17" t="n">
        <x:v>0.05</x:v>
      </x:c>
      <x:c r="E141" s="17" t="n">
        <x:v>0</x:v>
      </x:c>
      <x:c r="F141" s="17" t="n">
        <x:v>1</x:v>
      </x:c>
      <x:c r="G141" s="17" t="n">
        <x:v>-9.2082377831811e-16</x:v>
      </x:c>
      <x:c r="H141" s="17" t="n">
        <x:v>-5</x:v>
      </x:c>
      <x:c r="I141" s="17" t="n">
        <x:v>-1.8192142294015825</x:v>
      </x:c>
      <x:c r="J141" s="17" t="n">
        <x:v>0.02527689587624812</x:v>
      </x:c>
      <x:c r="K141" s="17" t="n">
        <x:v>1.8525644185502421</x:v>
      </x:c>
      <x:c r="L141" s="17" t="n">
        <x:v>-0.05381530524032161</x:v>
      </x:c>
      <x:c r="M141" s="17" t="n">
        <x:v>-2.49077614434473</x:v>
      </x:c>
      <x:c r="N141" s="17" t="n">
        <x:v>336.13000000000034</x:v>
      </x:c>
      <x:c r="O141" s="17" t="n">
        <x:v>192.0300000000001</x:v>
      </x:c>
      <x:c r="P141" s="17" t="n">
        <x:v>-79.00000000000009</x:v>
      </x:c>
      <x:c r="Q141" s="17" t="n">
        <x:f>P141-$P$5</x:f>
        <x:v>0.9999999999999147</x:v>
      </x:c>
      <x:c r="R141" s="2" t="str">
        <x:v>平行工件XY</x:v>
      </x:c>
    </x:row>
    <x:row r="142" ht="24" customHeight="1">
      <x:c r="A142" s="24" t="n">
        <x:v>135</x:v>
      </x:c>
      <x:c r="B142" s="2" t="str">
        <x:v>S033</x:v>
      </x:c>
      <x:c r="C142" s="2" t="str">
        <x:v>加严工况</x:v>
      </x:c>
      <x:c r="D142" s="17" t="n">
        <x:v>3.061616997868383e-18</x:v>
      </x:c>
      <x:c r="E142" s="17" t="n">
        <x:v>0.05</x:v>
      </x:c>
      <x:c r="F142" s="17" t="n">
        <x:v>1</x:v>
      </x:c>
      <x:c r="G142" s="17" t="n">
        <x:v>5</x:v>
      </x:c>
      <x:c r="H142" s="17" t="n">
        <x:v>0</x:v>
      </x:c>
      <x:c r="I142" s="17" t="n">
        <x:v>-0.08773420476434222</x:v>
      </x:c>
      <x:c r="J142" s="17" t="n">
        <x:v>2.536658631927755</x:v>
      </x:c>
      <x:c r="K142" s="17" t="n">
        <x:v>-0.04424553298580107</x:v>
      </x:c>
      <x:c r="L142" s="17" t="n">
        <x:v>-2.5933422962214596</x:v>
      </x:c>
      <x:c r="M142" s="17" t="n">
        <x:v>-2.490774242315949</x:v>
      </x:c>
      <x:c r="N142" s="17" t="n">
        <x:v>336.08000000000027</x:v>
      </x:c>
      <x:c r="O142" s="17" t="n">
        <x:v>192.08000000000007</x:v>
      </x:c>
      <x:c r="P142" s="17" t="n">
        <x:v>-79.00000000000009</x:v>
      </x:c>
      <x:c r="Q142" s="17" t="n">
        <x:f>P142-$P$5</x:f>
        <x:v>0.9999999999999147</x:v>
      </x:c>
      <x:c r="R142" s="2" t="str">
        <x:v>平行工件XY</x:v>
      </x:c>
    </x:row>
    <x:row r="143" ht="24" customHeight="1">
      <x:c r="A143" s="24" t="n">
        <x:v>136</x:v>
      </x:c>
      <x:c r="B143" s="2" t="str">
        <x:v>S034</x:v>
      </x:c>
      <x:c r="C143" s="2" t="str">
        <x:v>加严工况</x:v>
      </x:c>
      <x:c r="D143" s="17" t="n">
        <x:v>3.061616997868383e-18</x:v>
      </x:c>
      <x:c r="E143" s="17" t="n">
        <x:v>0.05</x:v>
      </x:c>
      <x:c r="F143" s="17" t="n">
        <x:v>1</x:v>
      </x:c>
      <x:c r="G143" s="17" t="n">
        <x:v>3.0694125943937005e-16</x:v>
      </x:c>
      <x:c r="H143" s="17" t="n">
        <x:v>5</x:v>
      </x:c>
      <x:c r="I143" s="17" t="n">
        <x:v>1.8500981986319804</x:v>
      </x:c>
      <x:c r="J143" s="17" t="n">
        <x:v>2.2053269837669764e-14</x:v>
      </x:c>
      <x:c r="K143" s="17" t="n">
        <x:v>-1.902540475895948</x:v>
      </x:c>
      <x:c r="L143" s="17" t="n">
        <x:v>-2.1615876327728386e-14</x:v>
      </x:c>
      <x:c r="M143" s="17" t="n">
        <x:v>-2.485186141048176</x:v>
      </x:c>
      <x:c r="N143" s="17" t="n">
        <x:v>336.08000000000027</x:v>
      </x:c>
      <x:c r="O143" s="17" t="n">
        <x:v>192.08000000000004</x:v>
      </x:c>
      <x:c r="P143" s="17" t="n">
        <x:v>-79.00000000000009</x:v>
      </x:c>
      <x:c r="Q143" s="17" t="n">
        <x:f>P143-$P$5</x:f>
        <x:v>0.9999999999999147</x:v>
      </x:c>
      <x:c r="R143" s="2" t="str">
        <x:v>平行工件XY</x:v>
      </x:c>
    </x:row>
    <x:row r="144" ht="24" customHeight="1">
      <x:c r="A144" s="24" t="n">
        <x:v>137</x:v>
      </x:c>
      <x:c r="B144" s="2" t="str">
        <x:v>S035</x:v>
      </x:c>
      <x:c r="C144" s="2" t="str">
        <x:v>加严工况</x:v>
      </x:c>
      <x:c r="D144" s="17" t="n">
        <x:v>3.061616997868383e-18</x:v>
      </x:c>
      <x:c r="E144" s="17" t="n">
        <x:v>0.05</x:v>
      </x:c>
      <x:c r="F144" s="17" t="n">
        <x:v>1</x:v>
      </x:c>
      <x:c r="G144" s="17" t="n">
        <x:v>-5</x:v>
      </x:c>
      <x:c r="H144" s="17" t="n">
        <x:v>6.138825188787401e-16</x:v>
      </x:c>
      <x:c r="I144" s="17" t="n">
        <x:v>-0.08773420476435198</x:v>
      </x:c>
      <x:c r="J144" s="17" t="n">
        <x:v>-2.5366586319277427</x:v>
      </x:c>
      <x:c r="K144" s="17" t="n">
        <x:v>-0.04424553298578545</x:v>
      </x:c>
      <x:c r="L144" s="17" t="n">
        <x:v>2.593342296221449</x:v>
      </x:c>
      <x:c r="M144" s="17" t="n">
        <x:v>-2.4907742423156103</x:v>
      </x:c>
      <x:c r="N144" s="17" t="n">
        <x:v>336.0800000000003</x:v>
      </x:c>
      <x:c r="O144" s="17" t="n">
        <x:v>192.08000000000004</x:v>
      </x:c>
      <x:c r="P144" s="17" t="n">
        <x:v>-79.00000000000009</x:v>
      </x:c>
      <x:c r="Q144" s="17" t="n">
        <x:f>P144-$P$5</x:f>
        <x:v>0.9999999999999147</x:v>
      </x:c>
      <x:c r="R144" s="2" t="str">
        <x:v>平行工件XY</x:v>
      </x:c>
    </x:row>
    <x:row r="145" ht="24" customHeight="1">
      <x:c r="A145" s="24" t="n">
        <x:v>138</x:v>
      </x:c>
      <x:c r="B145" s="2" t="str">
        <x:v>S036</x:v>
      </x:c>
      <x:c r="C145" s="2" t="str">
        <x:v>加严工况</x:v>
      </x:c>
      <x:c r="D145" s="17" t="n">
        <x:v>3.061616997868383e-18</x:v>
      </x:c>
      <x:c r="E145" s="17" t="n">
        <x:v>0.05</x:v>
      </x:c>
      <x:c r="F145" s="17" t="n">
        <x:v>1</x:v>
      </x:c>
      <x:c r="G145" s="17" t="n">
        <x:v>-9.2082377831811e-16</x:v>
      </x:c>
      <x:c r="H145" s="17" t="n">
        <x:v>-5</x:v>
      </x:c>
      <x:c r="I145" s="17" t="n">
        <x:v>-1.7882658636288362</x:v>
      </x:c>
      <x:c r="J145" s="17" t="n">
        <x:v>-1.7373833229085444e-12</x:v>
      </x:c>
      <x:c r="K145" s="17" t="n">
        <x:v>1.8025338636586925</x:v>
      </x:c>
      <x:c r="L145" s="17" t="n">
        <x:v>2.0911596522257023e-12</x:v>
      </x:c>
      <x:c r="M145" s="17" t="n">
        <x:v>-2.496363516579908</x:v>
      </x:c>
      <x:c r="N145" s="17" t="n">
        <x:v>336.0800000000003</x:v>
      </x:c>
      <x:c r="O145" s="17" t="n">
        <x:v>192.08</x:v>
      </x:c>
      <x:c r="P145" s="17" t="n">
        <x:v>-79.00000000000009</x:v>
      </x:c>
      <x:c r="Q145" s="17" t="n">
        <x:f>P145-$P$5</x:f>
        <x:v>0.9999999999999147</x:v>
      </x:c>
      <x:c r="R145" s="2" t="str">
        <x:v>平行工件XY</x:v>
      </x:c>
    </x:row>
    <x:row r="146" ht="24" customHeight="1">
      <x:c r="A146" s="24" t="n">
        <x:v>139</x:v>
      </x:c>
      <x:c r="B146" s="2" t="str">
        <x:v>S037</x:v>
      </x:c>
      <x:c r="C146" s="2" t="str">
        <x:v>加严工况</x:v>
      </x:c>
      <x:c r="D146" s="17" t="n">
        <x:v>-0.05</x:v>
      </x:c>
      <x:c r="E146" s="17" t="n">
        <x:v>6.123233995736766e-18</x:v>
      </x:c>
      <x:c r="F146" s="17" t="n">
        <x:v>1</x:v>
      </x:c>
      <x:c r="G146" s="17" t="n">
        <x:v>5</x:v>
      </x:c>
      <x:c r="H146" s="17" t="n">
        <x:v>0</x:v>
      </x:c>
      <x:c r="I146" s="17" t="n">
        <x:v>-0.11426179427994047</x:v>
      </x:c>
      <x:c r="J146" s="17" t="n">
        <x:v>2.5007398956282954</x:v>
      </x:c>
      <x:c r="K146" s="17" t="n">
        <x:v>0.004542417721486961</x:v>
      </x:c>
      <x:c r="L146" s="17" t="n">
        <x:v>-2.53089735047387</x:v>
      </x:c>
      <x:c r="M146" s="17" t="n">
        <x:v>-2.4963624271249847</x:v>
      </x:c>
      <x:c r="N146" s="17" t="n">
        <x:v>336.03000000000037</x:v>
      </x:c>
      <x:c r="O146" s="17" t="n">
        <x:v>192.0300000000001</x:v>
      </x:c>
      <x:c r="P146" s="17" t="n">
        <x:v>-79.00000000000009</x:v>
      </x:c>
      <x:c r="Q146" s="17" t="n">
        <x:f>P146-$P$5</x:f>
        <x:v>0.9999999999999147</x:v>
      </x:c>
      <x:c r="R146" s="2" t="str">
        <x:v>平行工件XY</x:v>
      </x:c>
    </x:row>
    <x:row r="147" ht="24" customHeight="1">
      <x:c r="A147" s="24" t="n">
        <x:v>140</x:v>
      </x:c>
      <x:c r="B147" s="2" t="str">
        <x:v>S038</x:v>
      </x:c>
      <x:c r="C147" s="2" t="str">
        <x:v>加严工况</x:v>
      </x:c>
      <x:c r="D147" s="17" t="n">
        <x:v>-0.05</x:v>
      </x:c>
      <x:c r="E147" s="17" t="n">
        <x:v>6.123233995736766e-18</x:v>
      </x:c>
      <x:c r="F147" s="17" t="n">
        <x:v>1</x:v>
      </x:c>
      <x:c r="G147" s="17" t="n">
        <x:v>3.0694125943937005e-16</x:v>
      </x:c>
      <x:c r="H147" s="17" t="n">
        <x:v>5</x:v>
      </x:c>
      <x:c r="I147" s="17" t="n">
        <x:v>1.8191432059695822</x:v>
      </x:c>
      <x:c r="J147" s="17" t="n">
        <x:v>-0.038670750598266065</x:v>
      </x:c>
      <x:c r="K147" s="17" t="n">
        <x:v>-1.8525167931130377</x:v>
      </x:c>
      <x:c r="L147" s="17" t="n">
        <x:v>0.06326047196463877</x:v>
      </x:c>
      <x:c r="M147" s="17" t="n">
        <x:v>-2.4907761462601696</x:v>
      </x:c>
      <x:c r="N147" s="17" t="n">
        <x:v>336.03000000000026</x:v>
      </x:c>
      <x:c r="O147" s="17" t="n">
        <x:v>192.0300000000001</x:v>
      </x:c>
      <x:c r="P147" s="17" t="n">
        <x:v>-79</x:v>
      </x:c>
      <x:c r="Q147" s="17" t="n">
        <x:f>P147-$P$5</x:f>
        <x:v>1</x:v>
      </x:c>
      <x:c r="R147" s="2" t="str">
        <x:v>平行工件XY</x:v>
      </x:c>
    </x:row>
    <x:row r="148" ht="24" customHeight="1">
      <x:c r="A148" s="24" t="n">
        <x:v>141</x:v>
      </x:c>
      <x:c r="B148" s="2" t="str">
        <x:v>S039</x:v>
      </x:c>
      <x:c r="C148" s="2" t="str">
        <x:v>加严工况</x:v>
      </x:c>
      <x:c r="D148" s="17" t="n">
        <x:v>-0.05</x:v>
      </x:c>
      <x:c r="E148" s="17" t="n">
        <x:v>6.123233995736766e-18</x:v>
      </x:c>
      <x:c r="F148" s="17" t="n">
        <x:v>1</x:v>
      </x:c>
      <x:c r="G148" s="17" t="n">
        <x:v>-5</x:v>
      </x:c>
      <x:c r="H148" s="17" t="n">
        <x:v>6.138825188787401e-16</x:v>
      </x:c>
      <x:c r="I148" s="17" t="n">
        <x:v>-0.12232607310146466</x:v>
      </x:c>
      <x:c r="J148" s="17" t="n">
        <x:v>-2.5607502203832793</x:v>
      </x:c>
      <x:c r="K148" s="17" t="n">
        <x:v>0.0072826839547400326</x:v>
      </x:c>
      <x:c r="L148" s="17" t="n">
        <x:v>2.6458507254791233</x:v>
      </x:c>
      <x:c r="M148" s="17" t="n">
        <x:v>-2.485183157619582</x:v>
      </x:c>
      <x:c r="N148" s="17" t="n">
        <x:v>336.03000000000026</x:v>
      </x:c>
      <x:c r="O148" s="17" t="n">
        <x:v>192.03</x:v>
      </x:c>
      <x:c r="P148" s="17" t="n">
        <x:v>-79.00000000000009</x:v>
      </x:c>
      <x:c r="Q148" s="17" t="n">
        <x:f>P148-$P$5</x:f>
        <x:v>0.9999999999999147</x:v>
      </x:c>
      <x:c r="R148" s="2" t="str">
        <x:v>平行工件XY</x:v>
      </x:c>
    </x:row>
    <x:row r="149" ht="24" customHeight="1">
      <x:c r="A149" s="24" t="n">
        <x:v>142</x:v>
      </x:c>
      <x:c r="B149" s="2" t="str">
        <x:v>S040</x:v>
      </x:c>
      <x:c r="C149" s="2" t="str">
        <x:v>加严工况</x:v>
      </x:c>
      <x:c r="D149" s="17" t="n">
        <x:v>-0.05</x:v>
      </x:c>
      <x:c r="E149" s="17" t="n">
        <x:v>6.123233995736766e-18</x:v>
      </x:c>
      <x:c r="F149" s="17" t="n">
        <x:v>1</x:v>
      </x:c>
      <x:c r="G149" s="17" t="n">
        <x:v>-9.2082377831811e-16</x:v>
      </x:c>
      <x:c r="H149" s="17" t="n">
        <x:v>-5</x:v>
      </x:c>
      <x:c r="I149" s="17" t="n">
        <x:v>-1.8192142294014437</x:v>
      </x:c>
      <x:c r="J149" s="17" t="n">
        <x:v>-0.025276895879461032</x:v>
      </x:c>
      <x:c r="K149" s="17" t="n">
        <x:v>1.8525644185500794</x:v>
      </x:c>
      <x:c r="L149" s="17" t="n">
        <x:v>0.05381530524419984</x:v>
      </x:c>
      <x:c r="M149" s="17" t="n">
        <x:v>-2.490776144345289</x:v>
      </x:c>
      <x:c r="N149" s="17" t="n">
        <x:v>336.03000000000037</x:v>
      </x:c>
      <x:c r="O149" s="17" t="n">
        <x:v>192.03000000000006</x:v>
      </x:c>
      <x:c r="P149" s="17" t="n">
        <x:v>-79.00000000000009</x:v>
      </x:c>
      <x:c r="Q149" s="17" t="n">
        <x:f>P149-$P$5</x:f>
        <x:v>0.9999999999999147</x:v>
      </x:c>
      <x:c r="R149" s="2" t="str">
        <x:v>平行工件XY</x:v>
      </x:c>
    </x:row>
    <x:row r="150" ht="24" customHeight="1">
      <x:c r="A150" s="24" t="n">
        <x:v>143</x:v>
      </x:c>
      <x:c r="B150" s="2" t="str">
        <x:v>S041</x:v>
      </x:c>
      <x:c r="C150" s="2" t="str">
        <x:v>加严工况</x:v>
      </x:c>
      <x:c r="D150" s="17" t="n">
        <x:v>-9.184850993605149e-18</x:v>
      </x:c>
      <x:c r="E150" s="17" t="n">
        <x:v>-0.05</x:v>
      </x:c>
      <x:c r="F150" s="17" t="n">
        <x:v>1</x:v>
      </x:c>
      <x:c r="G150" s="17" t="n">
        <x:v>5</x:v>
      </x:c>
      <x:c r="H150" s="17" t="n">
        <x:v>0</x:v>
      </x:c>
      <x:c r="I150" s="17" t="n">
        <x:v>-0.14878865029507457</x:v>
      </x:c>
      <x:c r="J150" s="17" t="n">
        <x:v>2.524902762473584</x:v>
      </x:c>
      <x:c r="K150" s="17" t="n">
        <x:v>0.05601898234792542</x:v>
      </x:c>
      <x:c r="L150" s="17" t="n">
        <x:v>-2.5834580767401825</x:v>
      </x:c>
      <x:c r="M150" s="17" t="n">
        <x:v>-2.490774038883737</x:v>
      </x:c>
      <x:c r="N150" s="17" t="n">
        <x:v>336.0800000000004</x:v>
      </x:c>
      <x:c r="O150" s="17" t="n">
        <x:v>191.98000000000008</x:v>
      </x:c>
      <x:c r="P150" s="17" t="n">
        <x:v>-79.00000000000009</x:v>
      </x:c>
      <x:c r="Q150" s="17" t="n">
        <x:f>P150-$P$5</x:f>
        <x:v>0.9999999999999147</x:v>
      </x:c>
      <x:c r="R150" s="2" t="str">
        <x:v>平行工件XY</x:v>
      </x:c>
    </x:row>
    <x:row r="151" ht="24" customHeight="1">
      <x:c r="A151" s="24" t="n">
        <x:v>144</x:v>
      </x:c>
      <x:c r="B151" s="2" t="str">
        <x:v>S042</x:v>
      </x:c>
      <x:c r="C151" s="2" t="str">
        <x:v>加严工况</x:v>
      </x:c>
      <x:c r="D151" s="17" t="n">
        <x:v>-9.184850993605149e-18</x:v>
      </x:c>
      <x:c r="E151" s="17" t="n">
        <x:v>-0.05</x:v>
      </x:c>
      <x:c r="F151" s="17" t="n">
        <x:v>1</x:v>
      </x:c>
      <x:c r="G151" s="17" t="n">
        <x:v>3.0694125943937005e-16</x:v>
      </x:c>
      <x:c r="H151" s="17" t="n">
        <x:v>5</x:v>
      </x:c>
      <x:c r="I151" s="17" t="n">
        <x:v>1.7882658636318154</x:v>
      </x:c>
      <x:c r="J151" s="17" t="n">
        <x:v>-3.9771581392150105e-15</x:v>
      </x:c>
      <x:c r="K151" s="17" t="n">
        <x:v>-1.8025338636617798</x:v>
      </x:c>
      <x:c r="L151" s="17" t="n">
        <x:v>-4.169010977897813e-15</x:v>
      </x:c>
      <x:c r="M151" s="17" t="n">
        <x:v>-2.4963635165802445</x:v>
      </x:c>
      <x:c r="N151" s="17" t="n">
        <x:v>336.0800000000004</x:v>
      </x:c>
      <x:c r="O151" s="17" t="n">
        <x:v>191.98000000000008</x:v>
      </x:c>
      <x:c r="P151" s="17" t="n">
        <x:v>-79.00000000000009</x:v>
      </x:c>
      <x:c r="Q151" s="17" t="n">
        <x:f>P151-$P$5</x:f>
        <x:v>0.9999999999999147</x:v>
      </x:c>
      <x:c r="R151" s="2" t="str">
        <x:v>平行工件XY</x:v>
      </x:c>
    </x:row>
    <x:row r="152" ht="24" customHeight="1">
      <x:c r="A152" s="24" t="n">
        <x:v>145</x:v>
      </x:c>
      <x:c r="B152" s="2" t="str">
        <x:v>S043</x:v>
      </x:c>
      <x:c r="C152" s="2" t="str">
        <x:v>加严工况</x:v>
      </x:c>
      <x:c r="D152" s="17" t="n">
        <x:v>-9.184850993605149e-18</x:v>
      </x:c>
      <x:c r="E152" s="17" t="n">
        <x:v>-0.05</x:v>
      </x:c>
      <x:c r="F152" s="17" t="n">
        <x:v>1</x:v>
      </x:c>
      <x:c r="G152" s="17" t="n">
        <x:v>-5</x:v>
      </x:c>
      <x:c r="H152" s="17" t="n">
        <x:v>6.138825188787401e-16</x:v>
      </x:c>
      <x:c r="I152" s="17" t="n">
        <x:v>-0.14878865029506363</x:v>
      </x:c>
      <x:c r="J152" s="17" t="n">
        <x:v>-2.524902762473578</x:v>
      </x:c>
      <x:c r="K152" s="17" t="n">
        <x:v>0.05601898234790971</x:v>
      </x:c>
      <x:c r="L152" s="17" t="n">
        <x:v>2.583458076740197</x:v>
      </x:c>
      <x:c r="M152" s="17" t="n">
        <x:v>-2.490774038884165</x:v>
      </x:c>
      <x:c r="N152" s="17" t="n">
        <x:v>336.08000000000027</x:v>
      </x:c>
      <x:c r="O152" s="17" t="n">
        <x:v>191.98000000000008</x:v>
      </x:c>
      <x:c r="P152" s="17" t="n">
        <x:v>-79.00000000000009</x:v>
      </x:c>
      <x:c r="Q152" s="17" t="n">
        <x:f>P152-$P$5</x:f>
        <x:v>0.9999999999999147</x:v>
      </x:c>
      <x:c r="R152" s="2" t="str">
        <x:v>平行工件XY</x:v>
      </x:c>
    </x:row>
    <x:row r="153" ht="24" customHeight="1">
      <x:c r="A153" s="24" t="n">
        <x:v>146</x:v>
      </x:c>
      <x:c r="B153" s="2" t="str">
        <x:v>S044</x:v>
      </x:c>
      <x:c r="C153" s="2" t="str">
        <x:v>加严工况</x:v>
      </x:c>
      <x:c r="D153" s="17" t="n">
        <x:v>0</x:v>
      </x:c>
      <x:c r="E153" s="17" t="n">
        <x:v>-0.05</x:v>
      </x:c>
      <x:c r="F153" s="17" t="n">
        <x:v>1</x:v>
      </x:c>
      <x:c r="G153" s="17" t="n">
        <x:v>0</x:v>
      </x:c>
      <x:c r="H153" s="17" t="n">
        <x:v>-7.5</x:v>
      </x:c>
      <x:c r="I153" s="17" t="n">
        <x:v>-2.761245000580878</x:v>
      </x:c>
      <x:c r="J153" s="17" t="n">
        <x:v>6.528173584130263e-16</x:v>
      </x:c>
      <x:c r="K153" s="17" t="n">
        <x:v>2.830282305582384</x:v>
      </x:c>
      <x:c r="L153" s="17" t="n">
        <x:v>-5.405462616117377e-15</x:v>
      </x:c>
      <x:c r="M153" s="17" t="n">
        <x:v>-2.4896615859506865</x:v>
      </x:c>
      <x:c r="N153" s="17" t="n">
        <x:v>336.08000000000027</x:v>
      </x:c>
      <x:c r="O153" s="17" t="n">
        <x:v>191.97999999999996</x:v>
      </x:c>
      <x:c r="P153" s="17" t="n">
        <x:v>-79.00000000000009</x:v>
      </x:c>
      <x:c r="Q153" s="17" t="n">
        <x:f>P153-$P$5</x:f>
        <x:v>0.9999999999999147</x:v>
      </x:c>
      <x:c r="R153" s="2" t="str">
        <x:v>垂直末端主光线</x:v>
      </x:c>
    </x:row>
    <x:row r="154" ht="24" customHeight="1">
      <x:c r="A154" s="24" t="n">
        <x:v>147</x:v>
      </x:c>
      <x:c r="B154" s="2" t="str">
        <x:v>S045</x:v>
      </x:c>
      <x:c r="C154" s="2" t="str">
        <x:v>加严工况</x:v>
      </x:c>
      <x:c r="D154" s="17" t="n">
        <x:v>0.03535533905932738</x:v>
      </x:c>
      <x:c r="E154" s="17" t="n">
        <x:v>0.03535533905932738</x:v>
      </x:c>
      <x:c r="F154" s="17" t="n">
        <x:v>0</x:v>
      </x:c>
      <x:c r="G154" s="17" t="n">
        <x:v>-2.1222898958678784</x:v>
      </x:c>
      <x:c r="H154" s="17" t="n">
        <x:v>2.122289895867879</x:v>
      </x:c>
      <x:c r="I154" s="17" t="n">
        <x:v>0.7502932757063432</x:v>
      </x:c>
      <x:c r="J154" s="17" t="n">
        <x:v>-1.108359779603514</x:v>
      </x:c>
      <x:c r="K154" s="17" t="n">
        <x:v>-0.7846915691600519</x:v>
      </x:c>
      <x:c r="L154" s="17" t="n">
        <x:v>1.0602892499422365</x:v>
      </x:c>
      <x:c r="M154" s="17" t="n">
        <x:v>0.018072820715571883</x:v>
      </x:c>
      <x:c r="N154" s="17" t="n">
        <x:v>336.1153553390597</x:v>
      </x:c>
      <x:c r="O154" s="17" t="n">
        <x:v>192.06535533905935</x:v>
      </x:c>
      <x:c r="P154" s="17" t="n">
        <x:v>-80.00000000000009</x:v>
      </x:c>
      <x:c r="Q154" s="17" t="n">
        <x:f>P154-$P$5</x:f>
        <x:v>-8.526512829121202e-14</x:v>
      </x:c>
      <x:c r="R154" s="2" t="str">
        <x:v>平行工件XY</x:v>
      </x:c>
    </x:row>
    <x:row r="155" ht="24" customHeight="1">
      <x:c r="A155" s="24" t="n">
        <x:v>148</x:v>
      </x:c>
      <x:c r="B155" s="2" t="str">
        <x:v>S046</x:v>
      </x:c>
      <x:c r="C155" s="2" t="str">
        <x:v>加严工况</x:v>
      </x:c>
      <x:c r="D155" s="17" t="n">
        <x:v>0.03535533905932738</x:v>
      </x:c>
      <x:c r="E155" s="17" t="n">
        <x:v>0.03535533905932738</x:v>
      </x:c>
      <x:c r="F155" s="17" t="n">
        <x:v>0</x:v>
      </x:c>
      <x:c r="G155" s="17" t="n">
        <x:v>-2.1222898958678793</x:v>
      </x:c>
      <x:c r="H155" s="17" t="n">
        <x:v>-2.1222898958678784</x:v>
      </x:c>
      <x:c r="I155" s="17" t="n">
        <x:v>-0.7447258986591282</x:v>
      </x:c>
      <x:c r="J155" s="17" t="n">
        <x:v>-0.9748113110669449</x:v>
      </x:c>
      <x:c r="K155" s="17" t="n">
        <x:v>0.714178531464586</x:v>
      </x:c>
      <x:c r="L155" s="17" t="n">
        <x:v>0.9811542022201662</x:v>
      </x:c>
      <x:c r="M155" s="17" t="n">
        <x:v>0.014665980339175622</x:v>
      </x:c>
      <x:c r="N155" s="17" t="n">
        <x:v>336.11535533905965</x:v>
      </x:c>
      <x:c r="O155" s="17" t="n">
        <x:v>192.06535533905935</x:v>
      </x:c>
      <x:c r="P155" s="17" t="n">
        <x:v>-80.00000000000003</x:v>
      </x:c>
      <x:c r="Q155" s="17" t="n">
        <x:f>P155-$P$5</x:f>
        <x:v>-2.842170943040401e-14</x:v>
      </x:c>
      <x:c r="R155" s="2" t="str">
        <x:v>平行工件XY</x:v>
      </x:c>
    </x:row>
    <x:row r="156" ht="24" customHeight="1">
      <x:c r="A156" s="24" t="n">
        <x:v>149</x:v>
      </x:c>
      <x:c r="B156" s="2" t="str">
        <x:v>T01</x:v>
      </x:c>
      <x:c r="C156" s="2" t="str">
        <x:v>像面对照</x:v>
      </x:c>
      <x:c r="D156" s="17" t="n">
        <x:v>0</x:v>
      </x:c>
      <x:c r="E156" s="17" t="n">
        <x:v>0</x:v>
      </x:c>
      <x:c r="F156" s="17" t="n">
        <x:v>0</x:v>
      </x:c>
      <x:c r="G156" s="17" t="n">
        <x:v>0</x:v>
      </x:c>
      <x:c r="H156" s="17" t="n">
        <x:v>0</x:v>
      </x:c>
      <x:c r="I156" s="17" t="n">
        <x:v>1.1747737966183503e-14</x:v>
      </x:c>
      <x:c r="J156" s="17" t="n">
        <x:v>2.2872293401758256e-14</x:v>
      </x:c>
      <x:c r="K156" s="17" t="n">
        <x:v>-1.1360066344802974e-14</x:v>
      </x:c>
      <x:c r="L156" s="17" t="n">
        <x:v>-2.8884842282011436e-14</x:v>
      </x:c>
      <x:c r="M156" s="17" t="n">
        <x:v>0.015198086950715613</x:v>
      </x:c>
      <x:c r="N156" s="17" t="n">
        <x:v>336.0800000000004</x:v>
      </x:c>
      <x:c r="O156" s="17" t="n">
        <x:v>192.03000000000006</x:v>
      </x:c>
      <x:c r="P156" s="17" t="n">
        <x:v>-80.00000000000009</x:v>
      </x:c>
      <x:c r="Q156" s="17" t="n">
        <x:f>P156-$P$5</x:f>
        <x:v>-8.526512829121202e-14</x:v>
      </x:c>
      <x:c r="R156" s="2" t="str">
        <x:v>垂直末端主光线</x:v>
      </x:c>
    </x:row>
    <x:row r="157" ht="24" customHeight="1">
      <x:c r="A157" s="24" t="n">
        <x:v>150</x:v>
      </x:c>
      <x:c r="B157" s="2" t="str">
        <x:v>T02</x:v>
      </x:c>
      <x:c r="C157" s="2" t="str">
        <x:v>像面对照</x:v>
      </x:c>
      <x:c r="D157" s="17" t="n">
        <x:v>0.03</x:v>
      </x:c>
      <x:c r="E157" s="17" t="n">
        <x:v>0</x:v>
      </x:c>
      <x:c r="F157" s="17" t="n">
        <x:v>0.5</x:v>
      </x:c>
      <x:c r="G157" s="17" t="n">
        <x:v>1.5</x:v>
      </x:c>
      <x:c r="H157" s="17" t="n">
        <x:v>0</x:v>
      </x:c>
      <x:c r="I157" s="17" t="n">
        <x:v>-0.011095913328959456</x:v>
      </x:c>
      <x:c r="J157" s="17" t="n">
        <x:v>0.7745180019714677</x:v>
      </x:c>
      <x:c r="K157" s="17" t="n">
        <x:v>0.0006254822125834063</x:v>
      </x:c>
      <x:c r="L157" s="17" t="n">
        <x:v>-0.7981422562119808</x:v>
      </x:c>
      <x:c r="M157" s="17" t="n">
        <x:v>-1.2737725611528323</x:v>
      </x:c>
      <x:c r="N157" s="17" t="n">
        <x:v>336.11000000000035</x:v>
      </x:c>
      <x:c r="O157" s="17" t="n">
        <x:v>192.02999999999997</x:v>
      </x:c>
      <x:c r="P157" s="17" t="n">
        <x:v>-79.50000000000009</x:v>
      </x:c>
      <x:c r="Q157" s="17" t="n">
        <x:f>P157-$P$5</x:f>
        <x:v>0.49999999999991473</x:v>
      </x:c>
      <x:c r="R157" s="2" t="str">
        <x:v>垂直末端主光线</x:v>
      </x:c>
    </x:row>
    <x:row r="158" ht="24" customHeight="1">
      <x:c r="A158" s="24" t="n">
        <x:v>151</x:v>
      </x:c>
      <x:c r="B158" s="2" t="str">
        <x:v>T03</x:v>
      </x:c>
      <x:c r="C158" s="2" t="str">
        <x:v>像面对照</x:v>
      </x:c>
      <x:c r="D158" s="17" t="n">
        <x:v>-0.02298133329356935</x:v>
      </x:c>
      <x:c r="E158" s="17" t="n">
        <x:v>0.01928362829059617</x:v>
      </x:c>
      <x:c r="F158" s="17" t="n">
        <x:v>-0.5</x:v>
      </x:c>
      <x:c r="G158" s="17" t="n">
        <x:v>-1.1491751348861754</x:v>
      </x:c>
      <x:c r="H158" s="17" t="n">
        <x:v>0.9643106935218847</x:v>
      </x:c>
      <x:c r="I158" s="17" t="n">
        <x:v>0.34067442572641743</x:v>
      </x:c>
      <x:c r="J158" s="17" t="n">
        <x:v>-0.5991029815730335</x:v>
      </x:c>
      <x:c r="K158" s="17" t="n">
        <x:v>-0.3510227132342028</x:v>
      </x:c>
      <x:c r="L158" s="17" t="n">
        <x:v>0.5990308031730137</x:v>
      </x:c>
      <x:c r="M158" s="17" t="n">
        <x:v>1.3852791134563374</x:v>
      </x:c>
      <x:c r="N158" s="17" t="n">
        <x:v>336.0570186667067</x:v>
      </x:c>
      <x:c r="O158" s="17" t="n">
        <x:v>192.04928362829065</x:v>
      </x:c>
      <x:c r="P158" s="17" t="n">
        <x:v>-80.50000000000009</x:v>
      </x:c>
      <x:c r="Q158" s="17" t="n">
        <x:f>P158-$P$5</x:f>
        <x:v>-0.5000000000000853</x:v>
      </x:c>
      <x:c r="R158" s="2" t="str">
        <x:v>垂直末端主光线</x:v>
      </x:c>
    </x:row>
    <x:row r="159" ht="24" customHeight="1">
      <x:c r="A159" s="24" t="n">
        <x:v>152</x:v>
      </x:c>
      <x:c r="B159" s="2" t="str">
        <x:v>T04</x:v>
      </x:c>
      <x:c r="C159" s="2" t="str">
        <x:v>像面对照</x:v>
      </x:c>
      <x:c r="D159" s="17" t="n">
        <x:v>0</x:v>
      </x:c>
      <x:c r="E159" s="17" t="n">
        <x:v>-0.05</x:v>
      </x:c>
      <x:c r="F159" s="17" t="n">
        <x:v>1</x:v>
      </x:c>
      <x:c r="G159" s="17" t="n">
        <x:v>0</x:v>
      </x:c>
      <x:c r="H159" s="17" t="n">
        <x:v>-7.5</x:v>
      </x:c>
      <x:c r="I159" s="17" t="n">
        <x:v>-2.761245000580878</x:v>
      </x:c>
      <x:c r="J159" s="17" t="n">
        <x:v>6.528173584130263e-16</x:v>
      </x:c>
      <x:c r="K159" s="17" t="n">
        <x:v>2.830282305582384</x:v>
      </x:c>
      <x:c r="L159" s="17" t="n">
        <x:v>-5.405462616117377e-15</x:v>
      </x:c>
      <x:c r="M159" s="17" t="n">
        <x:v>-2.4896615859506865</x:v>
      </x:c>
      <x:c r="N159" s="17" t="n">
        <x:v>336.08000000000027</x:v>
      </x:c>
      <x:c r="O159" s="17" t="n">
        <x:v>191.97999999999996</x:v>
      </x:c>
      <x:c r="P159" s="17" t="n">
        <x:v>-79.00000000000009</x:v>
      </x:c>
      <x:c r="Q159" s="17" t="n">
        <x:f>P159-$P$5</x:f>
        <x:v>0.9999999999999147</x:v>
      </x:c>
      <x:c r="R159" s="2" t="str">
        <x:v>垂直末端主光线</x:v>
      </x:c>
    </x:row>
    <x:row r="160" ht="24" customHeight="1">
      <x:c r="A160" s="24" t="n">
        <x:v>153</x:v>
      </x:c>
      <x:c r="B160" s="2" t="str">
        <x:v>T05</x:v>
      </x:c>
      <x:c r="C160" s="2" t="str">
        <x:v>像面对照</x:v>
      </x:c>
      <x:c r="D160" s="17" t="n">
        <x:v>0.05</x:v>
      </x:c>
      <x:c r="E160" s="17" t="n">
        <x:v>0</x:v>
      </x:c>
      <x:c r="F160" s="17" t="n">
        <x:v>1</x:v>
      </x:c>
      <x:c r="G160" s="17" t="n">
        <x:v>7.5</x:v>
      </x:c>
      <x:c r="H160" s="17" t="n">
        <x:v>0</x:v>
      </x:c>
      <x:c r="I160" s="17" t="n">
        <x:v>-0.27088987663600494</x:v>
      </x:c>
      <x:c r="J160" s="17" t="n">
        <x:v>3.7923502934804536</x:v>
      </x:c>
      <x:c r="K160" s="17" t="n">
        <x:v>0.016838967158002493</x:v>
      </x:c>
      <x:c r="L160" s="17" t="n">
        <x:v>-3.925875150693074</x:v>
      </x:c>
      <x:c r="M160" s="17" t="n">
        <x:v>-2.489654369329489</x:v>
      </x:c>
      <x:c r="N160" s="17" t="n">
        <x:v>336.13000000000034</x:v>
      </x:c>
      <x:c r="O160" s="17" t="n">
        <x:v>192.0300000000001</x:v>
      </x:c>
      <x:c r="P160" s="17" t="n">
        <x:v>-79.00000000000009</x:v>
      </x:c>
      <x:c r="Q160" s="17" t="n">
        <x:f>P160-$P$5</x:f>
        <x:v>0.9999999999999147</x:v>
      </x:c>
      <x:c r="R160" s="2" t="str">
        <x:v>垂直末端主光线</x:v>
      </x:c>
    </x:row>
    <x:row r="161" ht="24" customHeight="1">
      <x:c r="A161" s="24" t="n">
        <x:v>154</x:v>
      </x:c>
      <x:c r="B161" s="2" t="str">
        <x:v>T06</x:v>
      </x:c>
      <x:c r="C161" s="2" t="str">
        <x:v>像面对照</x:v>
      </x:c>
      <x:c r="D161" s="17" t="n">
        <x:v>0</x:v>
      </x:c>
      <x:c r="E161" s="17" t="n">
        <x:v>-0.05</x:v>
      </x:c>
      <x:c r="F161" s="17" t="n">
        <x:v>-1</x:v>
      </x:c>
      <x:c r="G161" s="17" t="n">
        <x:v>0</x:v>
      </x:c>
      <x:c r="H161" s="17" t="n">
        <x:v>-7.5</x:v>
      </x:c>
      <x:c r="I161" s="17" t="n">
        <x:v>-2.597896240418413</x:v>
      </x:c>
      <x:c r="J161" s="17" t="n">
        <x:v>7.331040347237388e-15</x:v>
      </x:c>
      <x:c r="K161" s="17" t="n">
        <x:v>2.566762042071929</x:v>
      </x:c>
      <x:c r="L161" s="17" t="n">
        <x:v>-1.2189430941030508e-14</x:v>
      </x:c>
      <x:c r="M161" s="17" t="n">
        <x:v>2.8449589165442744</x:v>
      </x:c>
      <x:c r="N161" s="17" t="n">
        <x:v>336.08000000000027</x:v>
      </x:c>
      <x:c r="O161" s="17" t="n">
        <x:v>191.98000000000005</x:v>
      </x:c>
      <x:c r="P161" s="17" t="n">
        <x:v>-81.00000000000009</x:v>
      </x:c>
      <x:c r="Q161" s="17" t="n">
        <x:f>P161-$P$5</x:f>
        <x:v>-1.0000000000000853</x:v>
      </x:c>
      <x:c r="R161" s="2" t="str">
        <x:v>垂直末端主光线</x:v>
      </x:c>
    </x:row>
    <x:row r="162" ht="24" customHeight="1">
      <x:c r="A162" s="24" t="n">
        <x:v>155</x:v>
      </x:c>
      <x:c r="B162" s="2" t="str">
        <x:v>T07</x:v>
      </x:c>
      <x:c r="C162" s="2" t="str">
        <x:v>像面对照</x:v>
      </x:c>
      <x:c r="D162" s="17" t="n">
        <x:v>0</x:v>
      </x:c>
      <x:c r="E162" s="17" t="n">
        <x:v>0</x:v>
      </x:c>
      <x:c r="F162" s="17" t="n">
        <x:v>0</x:v>
      </x:c>
      <x:c r="G162" s="17" t="n">
        <x:v>0</x:v>
      </x:c>
      <x:c r="H162" s="17" t="n">
        <x:v>0</x:v>
      </x:c>
      <x:c r="I162" s="17" t="n">
        <x:v>1.1747737966183503e-14</x:v>
      </x:c>
      <x:c r="J162" s="17" t="n">
        <x:v>2.2872293401758256e-14</x:v>
      </x:c>
      <x:c r="K162" s="17" t="n">
        <x:v>-1.1360066344802974e-14</x:v>
      </x:c>
      <x:c r="L162" s="17" t="n">
        <x:v>-2.8884842282011436e-14</x:v>
      </x:c>
      <x:c r="M162" s="17" t="n">
        <x:v>0.015198086950715613</x:v>
      </x:c>
      <x:c r="N162" s="17" t="n">
        <x:v>336.0800000000004</x:v>
      </x:c>
      <x:c r="O162" s="17" t="n">
        <x:v>192.03000000000006</x:v>
      </x:c>
      <x:c r="P162" s="17" t="n">
        <x:v>-80.00000000000009</x:v>
      </x:c>
      <x:c r="Q162" s="17" t="n">
        <x:f>P162-$P$5</x:f>
        <x:v>-8.526512829121202e-14</x:v>
      </x:c>
      <x:c r="R162" s="2" t="str">
        <x:v>平行工件XY</x:v>
      </x:c>
    </x:row>
    <x:row r="163" ht="24" customHeight="1">
      <x:c r="A163" s="24" t="n">
        <x:v>156</x:v>
      </x:c>
      <x:c r="B163" s="2" t="str">
        <x:v>T08</x:v>
      </x:c>
      <x:c r="C163" s="2" t="str">
        <x:v>像面对照</x:v>
      </x:c>
      <x:c r="D163" s="17" t="n">
        <x:v>0.03</x:v>
      </x:c>
      <x:c r="E163" s="17" t="n">
        <x:v>0</x:v>
      </x:c>
      <x:c r="F163" s="17" t="n">
        <x:v>0.5</x:v>
      </x:c>
      <x:c r="G163" s="17" t="n">
        <x:v>1.5</x:v>
      </x:c>
      <x:c r="H163" s="17" t="n">
        <x:v>0</x:v>
      </x:c>
      <x:c r="I163" s="17" t="n">
        <x:v>-0.011095913328959456</x:v>
      </x:c>
      <x:c r="J163" s="17" t="n">
        <x:v>0.7745180019714677</x:v>
      </x:c>
      <x:c r="K163" s="17" t="n">
        <x:v>0.0006254822125834063</x:v>
      </x:c>
      <x:c r="L163" s="17" t="n">
        <x:v>-0.7981422562119808</x:v>
      </x:c>
      <x:c r="M163" s="17" t="n">
        <x:v>-1.2737725611528323</x:v>
      </x:c>
      <x:c r="N163" s="17" t="n">
        <x:v>336.11000000000035</x:v>
      </x:c>
      <x:c r="O163" s="17" t="n">
        <x:v>192.02999999999997</x:v>
      </x:c>
      <x:c r="P163" s="17" t="n">
        <x:v>-79.50000000000009</x:v>
      </x:c>
      <x:c r="Q163" s="17" t="n">
        <x:f>P163-$P$5</x:f>
        <x:v>0.49999999999991473</x:v>
      </x:c>
      <x:c r="R163" s="2" t="str">
        <x:v>平行工件XY</x:v>
      </x:c>
    </x:row>
    <x:row r="164" ht="24" customHeight="1">
      <x:c r="A164" s="24" t="n">
        <x:v>157</x:v>
      </x:c>
      <x:c r="B164" s="2" t="str">
        <x:v>T09</x:v>
      </x:c>
      <x:c r="C164" s="2" t="str">
        <x:v>像面对照</x:v>
      </x:c>
      <x:c r="D164" s="17" t="n">
        <x:v>-0.02298133329356935</x:v>
      </x:c>
      <x:c r="E164" s="17" t="n">
        <x:v>0.01928362829059617</x:v>
      </x:c>
      <x:c r="F164" s="17" t="n">
        <x:v>-0.5</x:v>
      </x:c>
      <x:c r="G164" s="17" t="n">
        <x:v>-1.1491751348861754</x:v>
      </x:c>
      <x:c r="H164" s="17" t="n">
        <x:v>0.9643106935218847</x:v>
      </x:c>
      <x:c r="I164" s="17" t="n">
        <x:v>0.34067442572641743</x:v>
      </x:c>
      <x:c r="J164" s="17" t="n">
        <x:v>-0.5991029815730335</x:v>
      </x:c>
      <x:c r="K164" s="17" t="n">
        <x:v>-0.3510227132342028</x:v>
      </x:c>
      <x:c r="L164" s="17" t="n">
        <x:v>0.5990308031730137</x:v>
      </x:c>
      <x:c r="M164" s="17" t="n">
        <x:v>1.3852791134563374</x:v>
      </x:c>
      <x:c r="N164" s="17" t="n">
        <x:v>336.0570186667067</x:v>
      </x:c>
      <x:c r="O164" s="17" t="n">
        <x:v>192.04928362829065</x:v>
      </x:c>
      <x:c r="P164" s="17" t="n">
        <x:v>-80.50000000000009</x:v>
      </x:c>
      <x:c r="Q164" s="17" t="n">
        <x:f>P164-$P$5</x:f>
        <x:v>-0.5000000000000853</x:v>
      </x:c>
      <x:c r="R164" s="2" t="str">
        <x:v>平行工件XY</x:v>
      </x:c>
    </x:row>
    <x:row r="165" ht="24" customHeight="1">
      <x:c r="A165" s="24" t="n">
        <x:v>158</x:v>
      </x:c>
      <x:c r="B165" s="2" t="str">
        <x:v>T10</x:v>
      </x:c>
      <x:c r="C165" s="2" t="str">
        <x:v>像面对照</x:v>
      </x:c>
      <x:c r="D165" s="17" t="n">
        <x:v>0</x:v>
      </x:c>
      <x:c r="E165" s="17" t="n">
        <x:v>-0.05</x:v>
      </x:c>
      <x:c r="F165" s="17" t="n">
        <x:v>1</x:v>
      </x:c>
      <x:c r="G165" s="17" t="n">
        <x:v>0</x:v>
      </x:c>
      <x:c r="H165" s="17" t="n">
        <x:v>-7.5</x:v>
      </x:c>
      <x:c r="I165" s="17" t="n">
        <x:v>-2.761245000580878</x:v>
      </x:c>
      <x:c r="J165" s="17" t="n">
        <x:v>6.528173584130263e-16</x:v>
      </x:c>
      <x:c r="K165" s="17" t="n">
        <x:v>2.830282305582384</x:v>
      </x:c>
      <x:c r="L165" s="17" t="n">
        <x:v>-5.405462616117377e-15</x:v>
      </x:c>
      <x:c r="M165" s="17" t="n">
        <x:v>-2.4896615859506865</x:v>
      </x:c>
      <x:c r="N165" s="17" t="n">
        <x:v>336.08000000000027</x:v>
      </x:c>
      <x:c r="O165" s="17" t="n">
        <x:v>191.97999999999996</x:v>
      </x:c>
      <x:c r="P165" s="17" t="n">
        <x:v>-79.00000000000009</x:v>
      </x:c>
      <x:c r="Q165" s="17" t="n">
        <x:f>P165-$P$5</x:f>
        <x:v>0.9999999999999147</x:v>
      </x:c>
      <x:c r="R165" s="2" t="str">
        <x:v>平行工件XY</x:v>
      </x:c>
    </x:row>
    <x:row r="166" ht="24" customHeight="1">
      <x:c r="A166" s="24" t="n">
        <x:v>159</x:v>
      </x:c>
      <x:c r="B166" s="2" t="str">
        <x:v>T11</x:v>
      </x:c>
      <x:c r="C166" s="2" t="str">
        <x:v>像面对照</x:v>
      </x:c>
      <x:c r="D166" s="17" t="n">
        <x:v>0.05</x:v>
      </x:c>
      <x:c r="E166" s="17" t="n">
        <x:v>0</x:v>
      </x:c>
      <x:c r="F166" s="17" t="n">
        <x:v>1</x:v>
      </x:c>
      <x:c r="G166" s="17" t="n">
        <x:v>7.5</x:v>
      </x:c>
      <x:c r="H166" s="17" t="n">
        <x:v>0</x:v>
      </x:c>
      <x:c r="I166" s="17" t="n">
        <x:v>-0.27088987663600494</x:v>
      </x:c>
      <x:c r="J166" s="17" t="n">
        <x:v>3.7923502934804536</x:v>
      </x:c>
      <x:c r="K166" s="17" t="n">
        <x:v>0.016838967158002493</x:v>
      </x:c>
      <x:c r="L166" s="17" t="n">
        <x:v>-3.925875150693074</x:v>
      </x:c>
      <x:c r="M166" s="17" t="n">
        <x:v>-2.489654369329489</x:v>
      </x:c>
      <x:c r="N166" s="17" t="n">
        <x:v>336.13000000000034</x:v>
      </x:c>
      <x:c r="O166" s="17" t="n">
        <x:v>192.0300000000001</x:v>
      </x:c>
      <x:c r="P166" s="17" t="n">
        <x:v>-79.00000000000009</x:v>
      </x:c>
      <x:c r="Q166" s="17" t="n">
        <x:f>P166-$P$5</x:f>
        <x:v>0.9999999999999147</x:v>
      </x:c>
      <x:c r="R166" s="2" t="str">
        <x:v>平行工件XY</x:v>
      </x:c>
    </x:row>
    <x:row r="167" ht="24" customHeight="1">
      <x:c r="A167" s="24" t="n">
        <x:v>160</x:v>
      </x:c>
      <x:c r="B167" s="2" t="str">
        <x:v>T12</x:v>
      </x:c>
      <x:c r="C167" s="2" t="str">
        <x:v>像面对照</x:v>
      </x:c>
      <x:c r="D167" s="17" t="n">
        <x:v>0</x:v>
      </x:c>
      <x:c r="E167" s="17" t="n">
        <x:v>-0.05</x:v>
      </x:c>
      <x:c r="F167" s="17" t="n">
        <x:v>-1</x:v>
      </x:c>
      <x:c r="G167" s="17" t="n">
        <x:v>0</x:v>
      </x:c>
      <x:c r="H167" s="17" t="n">
        <x:v>-7.5</x:v>
      </x:c>
      <x:c r="I167" s="17" t="n">
        <x:v>-2.597896240418413</x:v>
      </x:c>
      <x:c r="J167" s="17" t="n">
        <x:v>7.331040347237388e-15</x:v>
      </x:c>
      <x:c r="K167" s="17" t="n">
        <x:v>2.566762042071929</x:v>
      </x:c>
      <x:c r="L167" s="17" t="n">
        <x:v>-1.2189430941030508e-14</x:v>
      </x:c>
      <x:c r="M167" s="17" t="n">
        <x:v>2.8449589165442744</x:v>
      </x:c>
      <x:c r="N167" s="17" t="n">
        <x:v>336.08000000000027</x:v>
      </x:c>
      <x:c r="O167" s="17" t="n">
        <x:v>191.98000000000005</x:v>
      </x:c>
      <x:c r="P167" s="17" t="n">
        <x:v>-81.00000000000009</x:v>
      </x:c>
      <x:c r="Q167" s="17" t="n">
        <x:f>P167-$P$5</x:f>
        <x:v>-1.0000000000000853</x:v>
      </x:c>
      <x:c r="R167" s="2" t="str">
        <x:v>平行工件XY</x:v>
      </x:c>
    </x:row>
  </x:sheetData>
  <x:pageMargins left="0.7" right="0.7" top="0.75" bottom="0.75" header="0.3" footer="0.3"/>
  <x:tableParts count="1">
    <x:tablePart xmlns:r="http://schemas.openxmlformats.org/officeDocument/2006/relationships" r:id="R8eae01bf814c4c81"/>
  </x:tableParts>
</x:worksheet>
</file>