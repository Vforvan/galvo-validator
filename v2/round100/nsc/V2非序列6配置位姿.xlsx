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bd993e5b6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配置位姿" sheetId="1" r:id="Ree8a4884a2de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0"/>
    <x:numFmt numFmtId="202" formatCode="[&gt;=0.0000005]0.000000;[&lt;=-0.0000005]-0.000000;0.000000"/>
    <x:numFmt numFmtId="203" formatCode="0.0000%"/>
    <x:numFmt numFmtId="204" formatCode="#,##0"/>
  </x:numFmts>
  <x:fonts count="6">
    <x:font>
      <x:sz val="11"/>
      <x:name val="Carlito"/>
    </x:font>
    <x:font>
      <x:sz val="11"/>
      <x:color rgb="FF20364B"/>
      <x:name val="Arial"/>
    </x:font>
    <x:font>
      <x:b/>
      <x:sz val="16"/>
      <x:color rgb="FF244768"/>
      <x:name val="Arial"/>
    </x:font>
    <x:font>
      <x:sz val="11"/>
      <x:color rgb="FF617386"/>
      <x:name val="Arial"/>
    </x:font>
    <x:font>
      <x:b/>
      <x:sz val="11"/>
      <x:color rgb="FF24476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7B9C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2cc25081343ec" /><Relationship Type="http://schemas.openxmlformats.org/officeDocument/2006/relationships/theme" Target="/xl/theme/theme1.xml" Id="Ra22601de898d4e87" /><Relationship Type="http://schemas.openxmlformats.org/officeDocument/2006/relationships/sharedStrings" Target="/xl/sharedStrings.xml" Id="Rc5968fedd028401a" /><Relationship Type="http://schemas.openxmlformats.org/officeDocument/2006/relationships/worksheet" Target="/xl/worksheets/sheet1.xml" Id="Ree8a4884a2de4aa9" /></Relationships>
</file>

<file path=xl/tables/table1.xml><?xml version="1.0" encoding="utf-8"?>
<x:table xmlns:x="http://schemas.openxmlformats.org/spreadsheetml/2006/main" id="1" name="NSCPoses" displayName="NSCPoses" ref="A7:J13" headerRowCount="1" totalsRowCount="0" totalsRowShown="0">
  <x:tableColumns count="10">
    <x:tableColumn id="1" name="配置"/>
    <x:tableColumn id="2" name="加工深度 / µm"/>
    <x:tableColumn id="3" name="旋入半径 / µm"/>
    <x:tableColumn id="4" name="方位 φ / °"/>
    <x:tableColumn id="5" name="焦点 X / µm"/>
    <x:tableColumn id="6" name="焦点 Y / µm"/>
    <x:tableColumn id="7" name="焦点 Z / mm"/>
    <x:tableColumn id="8" name="方向 α / °"/>
    <x:tableColumn id="9" name="方向 β / °"/>
    <x:tableColumn id="10" name="总 AOI / 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SCMotors" displayName="NSCMotors" ref="A18:F24" headerRowCount="1" totalsRowCount="0" totalsRowShown="0">
  <x:tableColumns count="6">
    <x:tableColumn id="1" name="配置"/>
    <x:tableColumn id="2" name="振镜 G1 / °"/>
    <x:tableColumn id="3" name="振镜 G2 / °"/>
    <x:tableColumn id="4" name="振镜 G3 / °"/>
    <x:tableColumn id="5" name="振镜 G4 / °"/>
    <x:tableColumn id="6" name="音圈位移 / m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SCDelivery" displayName="NSCDelivery" ref="A28:F34" headerRowCount="1" totalsRowCount="0" totalsRowShown="0">
  <x:tableColumns count="6">
    <x:tableColumn id="1" name="配置"/>
    <x:tableColumn id="2" name="入孔能量 / W"/>
    <x:tableColumn id="3" name="孔底能量 / W"/>
    <x:tableColumn id="4" name="孔底直达比例"/>
    <x:tableColumn id="5" name="被截比例"/>
    <x:tableColumn id="6" name="分析光线 / 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4875a6a00849f1" /><Relationship Type="http://schemas.openxmlformats.org/officeDocument/2006/relationships/table" Target="/xl/tables/table2.xml" Id="R40f413d4f96f43ba" /><Relationship Type="http://schemas.openxmlformats.org/officeDocument/2006/relationships/table" Target="/xl/tables/table3.xml" Id="Reaea49ad649e4030" /></Relationships>
</file>

<file path=xl/worksheets/sheet1.xml><?xml version="1.0" encoding="utf-8"?>
<x:worksheet xmlns:x="http://schemas.openxmlformats.org/spreadsheetml/2006/main">
  <x:sheetPr>
    <x:tabColor rgb="FF244768"/>
  </x:sheetPr>
  <x:sheetViews>
    <x:sheetView showGridLines="0" workbookViewId="0"/>
  </x:sheetViews>
  <x:sheetFormatPr defaultRowHeight="15"/>
  <x:cols>
    <x:col min="1" max="1" width="8.5" hidden="0" customWidth="1"/>
    <x:col min="2" max="2" width="15.25" hidden="0" customWidth="1"/>
    <x:col min="3" max="3" width="15.5" hidden="0" customWidth="1"/>
    <x:col min="4" max="4" width="15.25" hidden="0" customWidth="1"/>
    <x:col min="5" max="5" width="15.25" hidden="0" customWidth="1"/>
    <x:col min="6" max="6" width="15.25" hidden="0" customWidth="1"/>
    <x:col min="7" max="7" width="15.5" hidden="0" customWidth="1"/>
    <x:col min="8" max="8" width="15.25" hidden="0" customWidth="1"/>
    <x:col min="9" max="9" width="15.25" hidden="0" customWidth="1"/>
    <x:col min="10" max="10" width="15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3" customHeight="1">
      <x:c r="A2" s="4" t="str">
        <x:v>V2 非序列孔道验证：6 个配置位姿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X/Y相对孔中心；Z=0为孔深中面，入口Z=+0.5 mm，孔底Z=−0.5 mm。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24" customHeight="1">
      <x:c r="A4" s="6" t="str">
        <x:v>来源：nsc/results.json；对应工程：V2_hole_check.zos（配置1～6，编号独立于主顺序工程）。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7" t="str">
        <x:v>焦点位置与入射方向</x:v>
      </x:c>
      <x:c r="B6" s="7"/>
      <x:c r="C6" s="7"/>
      <x:c r="D6" s="7"/>
      <x:c r="E6" s="7"/>
      <x:c r="F6" s="7"/>
      <x:c r="G6" s="7"/>
      <x:c r="H6" s="7"/>
      <x:c r="I6" s="7"/>
      <x:c r="J6" s="7"/>
    </x:row>
    <x:row r="7" ht="39" customHeight="1">
      <x:c r="A7" s="11" t="str">
        <x:v>配置</x:v>
      </x:c>
      <x:c r="B7" s="11" t="str">
        <x:v>加工深度 / µm</x:v>
      </x:c>
      <x:c r="C7" s="11" t="str">
        <x:v>旋入半径 / µm</x:v>
      </x:c>
      <x:c r="D7" s="11" t="str">
        <x:v>方位 φ / °</x:v>
      </x:c>
      <x:c r="E7" s="11" t="str">
        <x:v>焦点 X / µm</x:v>
      </x:c>
      <x:c r="F7" s="11" t="str">
        <x:v>焦点 Y / µm</x:v>
      </x:c>
      <x:c r="G7" s="11" t="str">
        <x:v>焦点 Z / mm</x:v>
      </x:c>
      <x:c r="H7" s="11" t="str">
        <x:v>方向 α / °</x:v>
      </x:c>
      <x:c r="I7" s="11" t="str">
        <x:v>方向 β / °</x:v>
      </x:c>
      <x:c r="J7" s="11" t="str">
        <x:v>总 AOI / °</x:v>
      </x:c>
    </x:row>
    <x:row r="8" ht="27" customHeight="1">
      <x:c r="A8" s="13" t="n">
        <x:v>1</x:v>
      </x:c>
      <x:c r="B8" s="14" t="n">
        <x:v>1000</x:v>
      </x:c>
      <x:c r="C8" s="14" t="n">
        <x:v>30</x:v>
      </x:c>
      <x:c r="D8" s="14" t="n">
        <x:v>0</x:v>
      </x:c>
      <x:c r="E8" s="15" t="n">
        <x:v>30</x:v>
      </x:c>
      <x:c r="F8" s="15" t="n">
        <x:v>0</x:v>
      </x:c>
      <x:c r="G8" s="15" t="n">
        <x:v>-0.5</x:v>
      </x:c>
      <x:c r="H8" s="15" t="n">
        <x:v>1.5000000000000002</x:v>
      </x:c>
      <x:c r="I8" s="15" t="n">
        <x:v>0</x:v>
      </x:c>
      <x:c r="J8" s="15" t="n">
        <x:f>DEGREES(ATAN(SQRT(TAN(RADIANS(H8))^2+TAN(RADIANS(I8))^2)))</x:f>
        <x:v>1.5000000000000002</x:v>
      </x:c>
    </x:row>
    <x:row r="9" ht="27" customHeight="1">
      <x:c r="A9" s="13" t="n">
        <x:v>2</x:v>
      </x:c>
      <x:c r="B9" s="14" t="n">
        <x:v>1000</x:v>
      </x:c>
      <x:c r="C9" s="14" t="n">
        <x:v>30</x:v>
      </x:c>
      <x:c r="D9" s="14" t="n">
        <x:v>0</x:v>
      </x:c>
      <x:c r="E9" s="15" t="n">
        <x:v>30</x:v>
      </x:c>
      <x:c r="F9" s="15" t="n">
        <x:v>0</x:v>
      </x:c>
      <x:c r="G9" s="15" t="n">
        <x:v>-0.5</x:v>
      </x:c>
      <x:c r="H9" s="15" t="n">
        <x:v>2</x:v>
      </x:c>
      <x:c r="I9" s="15" t="n">
        <x:v>0</x:v>
      </x:c>
      <x:c r="J9" s="15" t="n">
        <x:f>DEGREES(ATAN(SQRT(TAN(RADIANS(H9))^2+TAN(RADIANS(I9))^2)))</x:f>
        <x:v>2</x:v>
      </x:c>
    </x:row>
    <x:row r="10" ht="27" customHeight="1">
      <x:c r="A10" s="13" t="n">
        <x:v>3</x:v>
      </x:c>
      <x:c r="B10" s="14" t="n">
        <x:v>1000</x:v>
      </x:c>
      <x:c r="C10" s="14" t="n">
        <x:v>30</x:v>
      </x:c>
      <x:c r="D10" s="14" t="n">
        <x:v>0</x:v>
      </x:c>
      <x:c r="E10" s="15" t="n">
        <x:v>30</x:v>
      </x:c>
      <x:c r="F10" s="15" t="n">
        <x:v>0</x:v>
      </x:c>
      <x:c r="G10" s="15" t="n">
        <x:v>-0.5</x:v>
      </x:c>
      <x:c r="H10" s="15" t="n">
        <x:v>2.5</x:v>
      </x:c>
      <x:c r="I10" s="15" t="n">
        <x:v>0</x:v>
      </x:c>
      <x:c r="J10" s="15" t="n">
        <x:f>DEGREES(ATAN(SQRT(TAN(RADIANS(H10))^2+TAN(RADIANS(I10))^2)))</x:f>
        <x:v>2.5</x:v>
      </x:c>
    </x:row>
    <x:row r="11" ht="27" customHeight="1">
      <x:c r="A11" s="13" t="n">
        <x:v>4</x:v>
      </x:c>
      <x:c r="B11" s="14" t="n">
        <x:v>1000</x:v>
      </x:c>
      <x:c r="C11" s="14" t="n">
        <x:v>30</x:v>
      </x:c>
      <x:c r="D11" s="14" t="n">
        <x:v>90</x:v>
      </x:c>
      <x:c r="E11" s="15" t="n">
        <x:v>1.8369701987210296e-15</x:v>
      </x:c>
      <x:c r="F11" s="15" t="n">
        <x:v>30</x:v>
      </x:c>
      <x:c r="G11" s="15" t="n">
        <x:v>-0.5</x:v>
      </x:c>
      <x:c r="H11" s="15" t="n">
        <x:v>9.186949968260946e-17</x:v>
      </x:c>
      <x:c r="I11" s="15" t="n">
        <x:v>1.5000000000000002</x:v>
      </x:c>
      <x:c r="J11" s="15" t="n">
        <x:f>DEGREES(ATAN(SQRT(TAN(RADIANS(H11))^2+TAN(RADIANS(I11))^2)))</x:f>
        <x:v>1.5000000000000002</x:v>
      </x:c>
    </x:row>
    <x:row r="12" ht="27" customHeight="1">
      <x:c r="A12" s="13" t="n">
        <x:v>5</x:v>
      </x:c>
      <x:c r="B12" s="14" t="n">
        <x:v>1000</x:v>
      </x:c>
      <x:c r="C12" s="14" t="n">
        <x:v>30</x:v>
      </x:c>
      <x:c r="D12" s="14" t="n">
        <x:v>90</x:v>
      </x:c>
      <x:c r="E12" s="15" t="n">
        <x:v>1.8369701987210296e-15</x:v>
      </x:c>
      <x:c r="F12" s="15" t="n">
        <x:v>30</x:v>
      </x:c>
      <x:c r="G12" s="15" t="n">
        <x:v>-0.5</x:v>
      </x:c>
      <x:c r="H12" s="15" t="n">
        <x:v>1.5317807204447847e-16</x:v>
      </x:c>
      <x:c r="I12" s="15" t="n">
        <x:v>2.5</x:v>
      </x:c>
      <x:c r="J12" s="15" t="n">
        <x:f>DEGREES(ATAN(SQRT(TAN(RADIANS(H12))^2+TAN(RADIANS(I12))^2)))</x:f>
        <x:v>2.5</x:v>
      </x:c>
    </x:row>
    <x:row r="13" ht="27" customHeight="1">
      <x:c r="A13" s="13" t="n">
        <x:v>6</x:v>
      </x:c>
      <x:c r="B13" s="14" t="n">
        <x:v>500</x:v>
      </x:c>
      <x:c r="C13" s="14" t="n">
        <x:v>30.000000000000004</x:v>
      </x:c>
      <x:c r="D13" s="14" t="n">
        <x:v>45</x:v>
      </x:c>
      <x:c r="E13" s="15" t="n">
        <x:v>21.213203435596427</x:v>
      </x:c>
      <x:c r="F13" s="15" t="n">
        <x:v>21.213203435596427</x:v>
      </x:c>
      <x:c r="G13" s="15" t="n">
        <x:v>0</x:v>
      </x:c>
      <x:c r="H13" s="15" t="n">
        <x:v>1.4145007934175509</x:v>
      </x:c>
      <x:c r="I13" s="15" t="n">
        <x:v>1.4145007934175509</x:v>
      </x:c>
      <x:c r="J13" s="15" t="n">
        <x:f>DEGREES(ATAN(SQRT(TAN(RADIANS(H13))^2+TAN(RADIANS(I13))^2)))</x:f>
        <x:v>2.0000000000000004</x:v>
      </x:c>
    </x:row>
    <x:row r="14" ht="24" customHeight="1">
      <x:c r="A14" s="6" t="str">
        <x:v>φ=0°位于+X，φ=90°位于+Y；方向α、β采用网页定义，总AOI相对工件Z法线。</x:v>
      </x:c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24" customHeight="1">
      <x:c r="A15" s="6" t="str">
        <x:v>6个代表姿态用于角度、方位与深度对比，并非连续的6个加工点。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9" customHeight="1">
      <x:c r="A17" s="7" t="str">
        <x:v>五轴执行参数</x:v>
      </x:c>
      <x:c r="B17" s="7"/>
      <x:c r="C17" s="7"/>
      <x:c r="D17" s="7"/>
      <x:c r="E17" s="7"/>
      <x:c r="F17" s="7"/>
      <x:c r="G17" s="2"/>
      <x:c r="H17" s="2"/>
      <x:c r="I17" s="2"/>
      <x:c r="J17" s="2"/>
    </x:row>
    <x:row r="18" ht="39" customHeight="1">
      <x:c r="A18" s="11" t="str">
        <x:v>配置</x:v>
      </x:c>
      <x:c r="B18" s="11" t="str">
        <x:v>振镜 G1 / °</x:v>
      </x:c>
      <x:c r="C18" s="11" t="str">
        <x:v>振镜 G2 / °</x:v>
      </x:c>
      <x:c r="D18" s="11" t="str">
        <x:v>振镜 G3 / °</x:v>
      </x:c>
      <x:c r="E18" s="11" t="str">
        <x:v>振镜 G4 / °</x:v>
      </x:c>
      <x:c r="F18" s="11" t="str">
        <x:v>音圈位移 / mm</x:v>
      </x:c>
      <x:c r="G18" s="2"/>
      <x:c r="H18" s="7" t="str">
        <x:v>配置用途</x:v>
      </x:c>
      <x:c r="I18" s="2"/>
      <x:c r="J18" s="2"/>
    </x:row>
    <x:row r="19" ht="27" customHeight="1">
      <x:c r="A19" s="13" t="n">
        <x:v>1</x:v>
      </x:c>
      <x:c r="B19" s="16" t="n">
        <x:v>-0.010455298321537744</x:v>
      </x:c>
      <x:c r="C19" s="16" t="n">
        <x:v>0.7584062670160344</x:v>
      </x:c>
      <x:c r="D19" s="16" t="n">
        <x:v>0.0004124057107653153</x:v>
      </x:c>
      <x:c r="E19" s="16" t="n">
        <x:v>-0.767831969891216</x:v>
      </x:c>
      <x:c r="F19" s="16" t="n">
        <x:v>1.3852791502949713</x:v>
      </x:c>
      <x:c r="G19" s="2"/>
      <x:c r="H19" s="2" t="str">
        <x:v>1～3：孔底+X侧，比较倾角。</x:v>
      </x:c>
      <x:c r="I19" s="2"/>
      <x:c r="J19" s="2"/>
    </x:row>
    <x:row r="20" ht="27" customHeight="1">
      <x:c r="A20" s="13" t="n">
        <x:v>2</x:v>
      </x:c>
      <x:c r="B20" s="16" t="n">
        <x:v>-0.018262210946738293</x:v>
      </x:c>
      <x:c r="C20" s="16" t="n">
        <x:v>1.0045690092918431</x:v>
      </x:c>
      <x:c r="D20" s="16" t="n">
        <x:v>0.0006346238709249147</x:v>
      </x:c>
      <x:c r="E20" s="16" t="n">
        <x:v>-1.0119892407025828</x:v>
      </x:c>
      <x:c r="F20" s="16" t="n">
        <x:v>1.386270152577602</x:v>
      </x:c>
      <x:c r="G20" s="2"/>
      <x:c r="H20" s="2" t="str">
        <x:v>4～5：孔底+Y侧，比较方位。</x:v>
      </x:c>
      <x:c r="I20" s="2"/>
      <x:c r="J20" s="2"/>
    </x:row>
    <x:row r="21" ht="27" customHeight="1">
      <x:c r="A21" s="13" t="n">
        <x:v>3</x:v>
      </x:c>
      <x:c r="B21" s="16" t="n">
        <x:v>-0.028227094580988724</x:v>
      </x:c>
      <x:c r="C21" s="16" t="n">
        <x:v>1.2503356758689723</x:v>
      </x:c>
      <x:c r="D21" s="16" t="n">
        <x:v>0.0009062781651730657</x:v>
      </x:c>
      <x:c r="E21" s="16" t="n">
        <x:v>-1.2559760008933742</x:v>
      </x:c>
      <x:c r="F21" s="16" t="n">
        <x:v>1.38737363732531</x:v>
      </x:c>
      <x:c r="G21" s="2"/>
      <x:c r="H21" s="2" t="str">
        <x:v>6：半深、45°方位组合姿态。</x:v>
      </x:c>
      <x:c r="I21" s="2"/>
      <x:c r="J21" s="2"/>
    </x:row>
    <x:row r="22" ht="27" customHeight="1">
      <x:c r="A22" s="13" t="n">
        <x:v>4</x:v>
      </x:c>
      <x:c r="B22" s="16" t="n">
        <x:v>0.539833064342275</x:v>
      </x:c>
      <x:c r="C22" s="16" t="n">
        <x:v>2.4962252223043508e-14</x:v>
      </x:c>
      <x:c r="D22" s="16" t="n">
        <x:v>-0.5463023285492373</x:v>
      </x:c>
      <x:c r="E22" s="16" t="n">
        <x:v>-4.2373097614515884e-14</x:v>
      </x:c>
      <x:c r="F22" s="16" t="n">
        <x:v>1.3852791216503426</x:v>
      </x:c>
      <x:c r="G22" s="2"/>
      <x:c r="H22" s="2"/>
      <x:c r="I22" s="2"/>
      <x:c r="J22" s="2"/>
    </x:row>
    <x:row r="23" ht="27" customHeight="1">
      <x:c r="A23" s="13" t="n">
        <x:v>5</x:v>
      </x:c>
      <x:c r="B23" s="16" t="n">
        <x:v>0.8874104428638295</x:v>
      </x:c>
      <x:c r="C23" s="16" t="n">
        <x:v>-1.799142185052553e-14</x:v>
      </x:c>
      <x:c r="D23" s="16" t="n">
        <x:v>-0.890527500991399</x:v>
      </x:c>
      <x:c r="E23" s="16" t="n">
        <x:v>2.991730401764621e-14</x:v>
      </x:c>
      <x:c r="F23" s="16" t="n">
        <x:v>1.387373606722402</x:v>
      </x:c>
      <x:c r="G23" s="2"/>
      <x:c r="H23" s="2" t="str">
        <x:v>G1～G4为振镜机械角，</x:v>
      </x:c>
      <x:c r="I23" s="2"/>
      <x:c r="J23" s="2"/>
    </x:row>
    <x:row r="24" ht="27" customHeight="1">
      <x:c r="A24" s="13" t="n">
        <x:v>6</x:v>
      </x:c>
      <x:c r="B24" s="16" t="n">
        <x:v>0.5023799785555949</x:v>
      </x:c>
      <x:c r="C24" s="16" t="n">
        <x:v>0.751649709308437</x:v>
      </x:c>
      <x:c r="D24" s="16" t="n">
        <x:v>-0.5201823173195604</x:v>
      </x:c>
      <x:c r="E24" s="16" t="n">
        <x:v>-0.7500394448204498</x:v>
      </x:c>
      <x:c r="F24" s="16" t="n">
        <x:v>0.017990092813615095</x:v>
      </x:c>
      <x:c r="G24" s="2"/>
      <x:c r="H24" s="2" t="str">
        <x:v>与加工入射AOI分别记录。</x:v>
      </x:c>
      <x:c r="I24" s="2"/>
      <x:c r="J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9" customHeight="1">
      <x:c r="A27" s="7" t="str">
        <x:v>非序列通光结果</x:v>
      </x:c>
      <x:c r="B27" s="7"/>
      <x:c r="C27" s="7"/>
      <x:c r="D27" s="7"/>
      <x:c r="E27" s="7"/>
      <x:c r="F27" s="7"/>
      <x:c r="G27" s="2"/>
      <x:c r="H27" s="2"/>
      <x:c r="I27" s="2"/>
      <x:c r="J27" s="2"/>
    </x:row>
    <x:row r="28" ht="39" customHeight="1">
      <x:c r="A28" s="11" t="str">
        <x:v>配置</x:v>
      </x:c>
      <x:c r="B28" s="11" t="str">
        <x:v>入孔能量 / W</x:v>
      </x:c>
      <x:c r="C28" s="11" t="str">
        <x:v>孔底能量 / W</x:v>
      </x:c>
      <x:c r="D28" s="11" t="str">
        <x:v>孔底直达比例</x:v>
      </x:c>
      <x:c r="E28" s="11" t="str">
        <x:v>被截比例</x:v>
      </x:c>
      <x:c r="F28" s="11" t="str">
        <x:v>分析光线 / 条</x:v>
      </x:c>
      <x:c r="G28" s="2"/>
      <x:c r="H28" s="7" t="str">
        <x:v>Zemax查看位置</x:v>
      </x:c>
      <x:c r="I28" s="2"/>
      <x:c r="J28" s="2"/>
    </x:row>
    <x:row r="29" ht="27" customHeight="1">
      <x:c r="A29" s="13" t="n">
        <x:v>1</x:v>
      </x:c>
      <x:c r="B29" s="15" t="n">
        <x:v>1.0000000000000004</x:v>
      </x:c>
      <x:c r="C29" s="15" t="n">
        <x:v>0.999755859375</x:v>
      </x:c>
      <x:c r="D29" s="17" t="n">
        <x:f>C29/B29</x:f>
        <x:v>0.9997558593749996</x:v>
      </x:c>
      <x:c r="E29" s="17" t="n">
        <x:f>1-D29</x:f>
        <x:v>0.0002441406250004441</x:v>
      </x:c>
      <x:c r="F29" s="18" t="n">
        <x:v>8192</x:v>
      </x:c>
      <x:c r="G29" s="2"/>
      <x:c r="H29" s="2" t="str">
        <x:v>38号：孔口参考探测器。</x:v>
      </x:c>
      <x:c r="I29" s="2"/>
      <x:c r="J29" s="2"/>
    </x:row>
    <x:row r="30" ht="27" customHeight="1">
      <x:c r="A30" s="13" t="n">
        <x:v>2</x:v>
      </x:c>
      <x:c r="B30" s="15" t="n">
        <x:v>1.0000000000000004</x:v>
      </x:c>
      <x:c r="C30" s="15" t="n">
        <x:v>0.9995117187500004</x:v>
      </x:c>
      <x:c r="D30" s="17" t="n">
        <x:f>C30/B30</x:f>
        <x:v>0.99951171875</x:v>
      </x:c>
      <x:c r="E30" s="17" t="n">
        <x:f>1-D30</x:f>
        <x:v>0.00048828125</x:v>
      </x:c>
      <x:c r="F30" s="18" t="n">
        <x:v>8192</x:v>
      </x:c>
      <x:c r="G30" s="2"/>
      <x:c r="H30" s="2" t="str">
        <x:v>39号：吸收孔壁，检查撞壁光线。</x:v>
      </x:c>
      <x:c r="I30" s="2"/>
      <x:c r="J30" s="2"/>
    </x:row>
    <x:row r="31" ht="27" customHeight="1">
      <x:c r="A31" s="13" t="n">
        <x:v>3</x:v>
      </x:c>
      <x:c r="B31" s="15" t="n">
        <x:v>1</x:v>
      </x:c>
      <x:c r="C31" s="15" t="n">
        <x:v>0.9982910156250004</x:v>
      </x:c>
      <x:c r="D31" s="17" t="n">
        <x:f>C31/B31</x:f>
        <x:v>0.9982910156250004</x:v>
      </x:c>
      <x:c r="E31" s="17" t="n">
        <x:f>1-D31</x:f>
        <x:v>0.001708984374999556</x:v>
      </x:c>
      <x:c r="F31" s="18" t="n">
        <x:v>8192</x:v>
      </x:c>
      <x:c r="G31" s="2"/>
      <x:c r="H31" s="2" t="str">
        <x:v>40号：孔底探测器。</x:v>
      </x:c>
      <x:c r="I31" s="2"/>
      <x:c r="J31" s="2"/>
    </x:row>
    <x:row r="32" ht="27" customHeight="1">
      <x:c r="A32" s="13" t="n">
        <x:v>4</x:v>
      </x:c>
      <x:c r="B32" s="15" t="n">
        <x:v>1</x:v>
      </x:c>
      <x:c r="C32" s="15" t="n">
        <x:v>0.9996337890624999</x:v>
      </x:c>
      <x:c r="D32" s="17" t="n">
        <x:f>C32/B32</x:f>
        <x:v>0.9996337890624999</x:v>
      </x:c>
      <x:c r="E32" s="17" t="n">
        <x:f>1-D32</x:f>
        <x:v>0.000366210937500111</x:v>
      </x:c>
      <x:c r="F32" s="18" t="n">
        <x:v>8192</x:v>
      </x:c>
      <x:c r="G32" s="2"/>
      <x:c r="H32" s="2" t="str">
        <x:v>切换配置后，清空探测器，</x:v>
      </x:c>
      <x:c r="I32" s="2"/>
      <x:c r="J32" s="2"/>
    </x:row>
    <x:row r="33" ht="27" customHeight="1">
      <x:c r="A33" s="13" t="n">
        <x:v>5</x:v>
      </x:c>
      <x:c r="B33" s="15" t="n">
        <x:v>1.0000000000000002</x:v>
      </x:c>
      <x:c r="C33" s="15" t="n">
        <x:v>0.9979248046875004</x:v>
      </x:c>
      <x:c r="D33" s="17" t="n">
        <x:f>C33/B33</x:f>
        <x:v>0.9979248046875002</x:v>
      </x:c>
      <x:c r="E33" s="17" t="n">
        <x:f>1-D33</x:f>
        <x:v>0.002075195312499778</x:v>
      </x:c>
      <x:c r="F33" s="18" t="n">
        <x:v>8192</x:v>
      </x:c>
      <x:c r="G33" s="2"/>
      <x:c r="H33" s="2" t="str">
        <x:v>重新运行NSC Ray Trace。</x:v>
      </x:c>
      <x:c r="I33" s="2"/>
      <x:c r="J33" s="2"/>
    </x:row>
    <x:row r="34" ht="27" customHeight="1">
      <x:c r="A34" s="13" t="n">
        <x:v>6</x:v>
      </x:c>
      <x:c r="B34" s="15" t="n">
        <x:v>1</x:v>
      </x:c>
      <x:c r="C34" s="15" t="n">
        <x:v>1</x:v>
      </x:c>
      <x:c r="D34" s="17" t="n">
        <x:f>C34/B34</x:f>
        <x:v>1</x:v>
      </x:c>
      <x:c r="E34" s="17" t="n">
        <x:f>1-D34</x:f>
        <x:v>0</x:v>
      </x:c>
      <x:c r="F34" s="18" t="n">
        <x:v>8192</x:v>
      </x:c>
      <x:c r="G34" s="2"/>
      <x:c r="H34" s="2"/>
      <x:c r="I34" s="2"/>
      <x:c r="J34" s="2"/>
    </x:row>
    <x:row r="35" ht="24" customHeight="1">
      <x:c r="A35" s="6" t="str">
        <x:v>直达比例=孔底能量÷入孔能量。配置6的0截光仅指本次8192条光线采样。</x:v>
      </x:c>
      <x:c r="B35" s="6"/>
      <x:c r="C35" s="6"/>
      <x:c r="D35" s="6"/>
      <x:c r="E35" s="6"/>
      <x:c r="F35" s="6"/>
      <x:c r="G35" s="6"/>
      <x:c r="H35" s="6"/>
      <x:c r="I35" s="6"/>
      <x:c r="J35" s="6"/>
    </x:row>
    <x:row r="36" ht="24" customHeight="1">
      <x:c r="A36" s="6" t="str">
        <x:v>515 nm，入口1/e²直径2 mm，M²=1.2高斯相空间近似；理想吸收孔壁，无反射、散射或烧蚀。</x:v>
      </x:c>
      <x:c r="B36" s="6"/>
      <x:c r="C36" s="6"/>
      <x:c r="D36" s="6"/>
      <x:c r="E36" s="6"/>
      <x:c r="F36" s="6"/>
      <x:c r="G36" s="6"/>
      <x:c r="H36" s="6"/>
      <x:c r="I36" s="6"/>
      <x:c r="J36" s="6"/>
    </x:row>
    <x:row r="37" ht="24" customHeight="1">
      <x:c r="A37" s="6" t="str">
        <x:v>本表记录6工况几何通光复核；修改数值不会自动更新Zemax姿态或重新追迹，通光结果须重新计算。</x:v>
      </x:c>
      <x:c r="B37" s="6"/>
      <x:c r="C37" s="6"/>
      <x:c r="D37" s="6"/>
      <x:c r="E37" s="6"/>
      <x:c r="F37" s="6"/>
      <x:c r="G37" s="6"/>
      <x:c r="H37" s="6"/>
      <x:c r="I37" s="6"/>
      <x:c r="J37" s="6"/>
    </x:row>
  </x:sheetData>
  <x:pageMargins left="0.7" right="0.7" top="0.75" bottom="0.75" header="0.3" footer="0.3"/>
  <x:tableParts count="3">
    <x:tablePart xmlns:r="http://schemas.openxmlformats.org/officeDocument/2006/relationships" r:id="Rcb4875a6a00849f1"/>
    <x:tablePart xmlns:r="http://schemas.openxmlformats.org/officeDocument/2006/relationships" r:id="R40f413d4f96f43ba"/>
    <x:tablePart xmlns:r="http://schemas.openxmlformats.org/officeDocument/2006/relationships" r:id="Reaea49ad649e4030"/>
  </x:tableParts>
</x:worksheet>
</file>